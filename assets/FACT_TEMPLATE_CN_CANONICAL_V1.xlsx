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2="http://schemas.microsoft.com/office/spreadsheetml/2018/calcfeatures" xmlns:r="http://schemas.openxmlformats.org/officeDocument/2006/relationships">
  <fileVersion appName="xl" lastEdited="3" lowestEdited="5" rupBuild="9302"/>
  <workbookPr/>
  <bookViews>
    <workbookView windowWidth="27920" windowHeight="12300" firstSheet="2" activeTab="2"/>
  </bookViews>
  <sheets>
    <sheet name="FACT-CN" sheetId="1" r:id="rId1"/>
  </sheets>
  <calcPr calcId="191029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FC835EAB12E4DAC9FBE3CD27992669A" descr="6e4a21d9e70476b69b75ca3f10117ea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4937760" cy="3889375"/>
        </a:xfrm>
        <a:prstGeom prst="rect">
          <a:avLst/>
        </a:prstGeom>
      </xdr:spPr>
    </xdr:pic>
  </etc:cellImage>
  <etc:cellImage>
    <xdr:pic>
      <xdr:nvPicPr>
        <xdr:cNvPr id="3" name="ID_F6653F2C69754EE6A709B10533AD547A" descr="615f24082532eef9fe55604262a2253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5204460"/>
          <a:ext cx="5207635" cy="18542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<sst xmlns="http://schemas.openxmlformats.org/spreadsheetml/2006/main" count="18069" uniqueCount="6118">
  <si>
    <t>FACT - #10441
Orders 28003 to 28706
05/08/26</t>
  </si>
  <si>
    <r>
      <rPr>
        <b/>
        <sz val="10"/>
        <color rgb="FF000000"/>
        <rFont val="Arial"/>
        <charset val="134"/>
      </rPr>
      <t>Consignee:</t>
    </r>
    <r>
      <rPr>
        <sz val="10"/>
        <color rgb="FF000000"/>
        <rFont val="Arial"/>
        <charset val="134"/>
      </rPr>
      <t xml:space="preserve"> JINRIYANGTIAN DIANZISHANGWU SHENZHEN YOUXIANGONGSI 
</t>
    </r>
    <r>
      <rPr>
        <b/>
        <sz val="10"/>
        <color rgb="FF000000"/>
        <rFont val="Arial"/>
        <charset val="134"/>
      </rPr>
      <t>Company number:</t>
    </r>
    <r>
      <rPr>
        <sz val="10"/>
        <color rgb="FF000000"/>
        <rFont val="Arial"/>
        <charset val="134"/>
      </rPr>
      <t xml:space="preserve"> 91440300MA5HW4MP14
</t>
    </r>
    <r>
      <rPr>
        <b/>
        <sz val="10"/>
        <color rgb="FF000000"/>
        <rFont val="Arial"/>
        <charset val="134"/>
      </rPr>
      <t>Adress:</t>
    </r>
    <r>
      <rPr>
        <sz val="10"/>
        <color rgb="FF000000"/>
        <rFont val="Arial"/>
        <charset val="134"/>
      </rPr>
      <t xml:space="preserve">   Parc Technologique Zhengchangda,
23 rue Jian’an, Quartier Fuhai, Bao’an, Shenzhen, Guangdong, Chine</t>
    </r>
  </si>
  <si>
    <t>INVOICED TO:</t>
  </si>
  <si>
    <t>Contractant : Stanislav et théo
Company name : SAS WRITE
Siret : 930 541 164 R.C.S. Paris
Address : 58 rue de Monceau, CS 48756
75380 Paris, France</t>
  </si>
  <si>
    <t>COMMERCIAL INVOICE</t>
  </si>
  <si>
    <t>No</t>
  </si>
  <si>
    <t>Description</t>
  </si>
  <si>
    <t>Quantity</t>
  </si>
  <si>
    <t>COGs (€)</t>
  </si>
  <si>
    <t xml:space="preserve"> Shipping (€)</t>
  </si>
  <si>
    <t>COGs + Shipping (€)</t>
  </si>
  <si>
    <t>Amount (€)</t>
  </si>
  <si>
    <t>FRANCE</t>
  </si>
  <si>
    <t>1</t>
  </si>
  <si>
    <t>Stylo eternelX1</t>
  </si>
  <si>
    <t>2</t>
  </si>
  <si>
    <t>Stylo eternelX2</t>
  </si>
  <si>
    <t>3</t>
  </si>
  <si>
    <t>Stylo eternelX3</t>
  </si>
  <si>
    <t>4</t>
  </si>
  <si>
    <t>Stylo eternelX4</t>
  </si>
  <si>
    <t>5</t>
  </si>
  <si>
    <t>Stylo eternelX5</t>
  </si>
  <si>
    <t>6</t>
  </si>
  <si>
    <t>Stylo eternelX6</t>
  </si>
  <si>
    <t>7</t>
  </si>
  <si>
    <t>Stylo eternelX7</t>
  </si>
  <si>
    <t>8</t>
  </si>
  <si>
    <t>Stylo eternelX8</t>
  </si>
  <si>
    <t>27.19</t>
  </si>
  <si>
    <t>9</t>
  </si>
  <si>
    <t>Stylo eternelX9</t>
  </si>
  <si>
    <t>7.65</t>
  </si>
  <si>
    <t>10</t>
  </si>
  <si>
    <t>Stylo eternelX10</t>
  </si>
  <si>
    <t>11</t>
  </si>
  <si>
    <t>Stylo eternelX12</t>
  </si>
  <si>
    <t>12</t>
  </si>
  <si>
    <t>Stylo eternelX15</t>
  </si>
  <si>
    <t>38.82</t>
  </si>
  <si>
    <t>13</t>
  </si>
  <si>
    <t>Stylo eternelX16</t>
  </si>
  <si>
    <t>40.35</t>
  </si>
  <si>
    <t>14</t>
  </si>
  <si>
    <t>Stylo eternelX20</t>
  </si>
  <si>
    <t>45.42</t>
  </si>
  <si>
    <t>15</t>
  </si>
  <si>
    <t>Stylo eternelX21</t>
  </si>
  <si>
    <t>17.85</t>
  </si>
  <si>
    <t>46.94</t>
  </si>
  <si>
    <t>16</t>
  </si>
  <si>
    <t>Stylo eternelX24</t>
  </si>
  <si>
    <t>49.50</t>
  </si>
  <si>
    <t>17</t>
  </si>
  <si>
    <t>Stylo eternelX48</t>
  </si>
  <si>
    <t>73.00</t>
  </si>
  <si>
    <t>18</t>
  </si>
  <si>
    <t>Lot de 2 gommes</t>
  </si>
  <si>
    <t>19</t>
  </si>
  <si>
    <t>Carnet X1</t>
  </si>
  <si>
    <t>20</t>
  </si>
  <si>
    <t xml:space="preserve">Lot de 4 mines rechargeables </t>
  </si>
  <si>
    <t>21</t>
  </si>
  <si>
    <t xml:space="preserve">Lot de 6 Mines colorées </t>
  </si>
  <si>
    <t>22</t>
  </si>
  <si>
    <t xml:space="preserve">Lot de 12 Mines colorées </t>
  </si>
  <si>
    <t>23</t>
  </si>
  <si>
    <t>Lot de 2 gommes UPSELL</t>
  </si>
  <si>
    <t>24</t>
  </si>
  <si>
    <t>Carnet  UPSELL</t>
  </si>
  <si>
    <t>25</t>
  </si>
  <si>
    <t>Lot de 4 mines rechargeables UPSELL</t>
  </si>
  <si>
    <t>26</t>
  </si>
  <si>
    <t>Lot de 6 Mines colorées UPSELL</t>
  </si>
  <si>
    <t>27</t>
  </si>
  <si>
    <t>Lot de 12 Mines colorées UPSELL</t>
  </si>
  <si>
    <t>28</t>
  </si>
  <si>
    <t>Mines colorées  UPSELL</t>
  </si>
  <si>
    <t>BELGIUM</t>
  </si>
  <si>
    <t>5.95</t>
  </si>
  <si>
    <t>22.29</t>
  </si>
  <si>
    <t>6.8</t>
  </si>
  <si>
    <t>25.23</t>
  </si>
  <si>
    <t>10.2</t>
  </si>
  <si>
    <t>36.33</t>
  </si>
  <si>
    <t>9.25</t>
  </si>
  <si>
    <t>3.44</t>
  </si>
  <si>
    <t xml:space="preserve">Lot de 6 mines rechargeables </t>
  </si>
  <si>
    <t>4.5</t>
  </si>
  <si>
    <t>Lot de 12 Mines colorées</t>
  </si>
  <si>
    <t>CANADA</t>
  </si>
  <si>
    <t>21.70</t>
  </si>
  <si>
    <t>23.81</t>
  </si>
  <si>
    <t>29.98</t>
  </si>
  <si>
    <t>38.12</t>
  </si>
  <si>
    <t>9.13</t>
  </si>
  <si>
    <t>3.78</t>
  </si>
  <si>
    <t>5.09</t>
  </si>
  <si>
    <t>SWITZERLAND</t>
  </si>
  <si>
    <t>14.00</t>
  </si>
  <si>
    <t>35.53</t>
  </si>
  <si>
    <t>Stylo eternelX11</t>
  </si>
  <si>
    <t>42.98</t>
  </si>
  <si>
    <t>11.23</t>
  </si>
  <si>
    <t>LUXEMBOURG</t>
  </si>
  <si>
    <t>6.60</t>
  </si>
  <si>
    <t>18.88</t>
  </si>
  <si>
    <t>27.08</t>
  </si>
  <si>
    <t>43.46</t>
  </si>
  <si>
    <t>Stylo eternelX27</t>
  </si>
  <si>
    <t>22.95</t>
  </si>
  <si>
    <t>51.07</t>
  </si>
  <si>
    <t>9.87</t>
  </si>
  <si>
    <t>GERMANY</t>
  </si>
  <si>
    <t>AUSTRALIA</t>
  </si>
  <si>
    <t>UNITED STATES</t>
  </si>
  <si>
    <t>SPAIN</t>
  </si>
  <si>
    <t>Gravure Personnalisée</t>
  </si>
  <si>
    <r>
      <t xml:space="preserve">Coffret Cadeau </t>
    </r>
    <r>
      <rPr>
        <sz val="10"/>
        <color rgb="FF000000"/>
        <rFont val="宋体-简"/>
        <charset val="134"/>
      </rPr>
      <t>（</t>
    </r>
    <r>
      <rPr>
        <sz val="10"/>
        <color rgb="FF000000"/>
        <rFont val="Arial"/>
        <charset val="134"/>
      </rPr>
      <t>upsell</t>
    </r>
    <r>
      <rPr>
        <sz val="10"/>
        <color rgb="FF000000"/>
        <rFont val="宋体-简"/>
        <charset val="134"/>
      </rPr>
      <t>）</t>
    </r>
  </si>
  <si>
    <t>0.37</t>
  </si>
  <si>
    <t>1.05</t>
  </si>
  <si>
    <t>Frais d’importation dans l’UE (3 € par colis)</t>
  </si>
  <si>
    <t>Frais d’importation dans l’UE (2 € par colis)</t>
  </si>
  <si>
    <t xml:space="preserve">    Personnalisation</t>
  </si>
  <si>
    <t xml:space="preserve"> ⁠Coût du moule - Gommes</t>
  </si>
  <si>
    <t xml:space="preserve"> ⁠Coût du moule -  Règles</t>
  </si>
  <si>
    <t>ATTENTION : Notre compte bancaire est un Compte Business</t>
  </si>
  <si>
    <t>Pour le règlement, merci de faire un virement en EUROS</t>
  </si>
  <si>
    <t>Voici les Coordonnées de notre compte bancaire :</t>
  </si>
  <si>
    <t>Nom de la banque: Citibank</t>
  </si>
  <si>
    <t>Adresse de la banque: 1 North Wall Quay, International Financial Services Centre (IFSC), Dublin 1, Ireland</t>
  </si>
  <si>
    <t>IBAN: IE83CITI99005171296881</t>
  </si>
  <si>
    <t>BIC: CITIIE2X</t>
  </si>
  <si>
    <t>Nom du bénéficiaire: JINRIYANGTIAN DIANZISHANGWU SHENZHEN YOUXIANGONGSI</t>
  </si>
  <si>
    <t>Type of Account: Business account</t>
  </si>
  <si>
    <t>Conditions de paiement : Paiement sous 8 jours à compter de la date de facture.</t>
  </si>
  <si>
    <t xml:space="preserve">REMARQUE : </t>
  </si>
  <si>
    <t>Merci de renseigner le numéro de la facture dans le versement pour que nous puissions identifier votre réglement.</t>
  </si>
  <si>
    <t>Après paiement, merci de nous envoyer la capture d’écran.</t>
  </si>
  <si>
    <t>En cas d’erreur ou d’omission, nous nous réservons le droit de réclamer tout montant restant dû.</t>
  </si>
  <si>
    <t>订单号</t>
  </si>
  <si>
    <t>订单金额</t>
  </si>
  <si>
    <t>产品总数</t>
  </si>
  <si>
    <t>多品名</t>
  </si>
  <si>
    <t>产品名称</t>
  </si>
  <si>
    <t>收货人国家</t>
  </si>
  <si>
    <t>买家姓名</t>
  </si>
  <si>
    <t>运单号</t>
  </si>
  <si>
    <t>订单备注</t>
  </si>
  <si>
    <t>拣货备注</t>
  </si>
  <si>
    <t>客服备注</t>
  </si>
  <si>
    <t>地址1+地址2</t>
  </si>
  <si>
    <t>下单时间</t>
  </si>
  <si>
    <t>付款时间</t>
  </si>
  <si>
    <t>店铺账号</t>
  </si>
  <si>
    <t>发货时间</t>
  </si>
  <si>
    <t>5233242-27792</t>
  </si>
  <si>
    <t>Crayon*1</t>
  </si>
  <si>
    <t>Le Crayon Intemporel - Carmin</t>
  </si>
  <si>
    <t>Manu Delgoffe</t>
  </si>
  <si>
    <t>6A07254077154</t>
  </si>
  <si>
    <t/>
  </si>
  <si>
    <t>客人要求</t>
  </si>
  <si>
    <t xml:space="preserve">1 Rue Haute </t>
  </si>
  <si>
    <t>2026-07-17 20:04:43</t>
  </si>
  <si>
    <t>铅笔 = Shipster*JJ 铅笔</t>
  </si>
  <si>
    <t>2026-07-18 12:47:56</t>
  </si>
  <si>
    <t>5233242-27839</t>
  </si>
  <si>
    <t>Flavie Mortreux</t>
  </si>
  <si>
    <t>6A07250882417</t>
  </si>
  <si>
    <t>10bis Rue De La Poste</t>
  </si>
  <si>
    <t>2026-07-17 20:04:04</t>
  </si>
  <si>
    <t>5233242-28003</t>
  </si>
  <si>
    <t xml:space="preserve"> 6 mines*1
Crayon*1
Gravure Personnalisée*1</t>
  </si>
  <si>
    <t>🎁 Mines colorées (100% off) - Pack de 6 mines | 36% d'économie
Le Crayon Intemporel - Nuit
Gravure Personnalisée</t>
  </si>
  <si>
    <t>Florian Morin</t>
  </si>
  <si>
    <t>LD797273065BE</t>
  </si>
  <si>
    <t xml:space="preserve">Rue de Hernoy 3 </t>
  </si>
  <si>
    <t>2026-07-06 00:26:49</t>
  </si>
  <si>
    <t>2026-07-08 12:51:24</t>
  </si>
  <si>
    <t>5233242-28004</t>
  </si>
  <si>
    <t>Crayon*1
Gravure Personnalisée*1
Crayon*1
Crayon*1
 6 mines*1</t>
  </si>
  <si>
    <t>Le Crayon Intemporel - Obsidienne
Gravure Personnalisée
Le Crayon Intemporel - Carmin
Le Crayon Intemporel - Nuit
🎁 Mines colorées (100% off) - Pack de 6 mines | 36% d'économie</t>
  </si>
  <si>
    <t>Quentin QUERQUAND</t>
  </si>
  <si>
    <t>6A07054178037</t>
  </si>
  <si>
    <t xml:space="preserve">95 Rue du Cluse </t>
  </si>
  <si>
    <t>2026-07-06 00:40:17</t>
  </si>
  <si>
    <t>2026-07-08 12:51:26</t>
  </si>
  <si>
    <t>5233242-28005</t>
  </si>
  <si>
    <t>Crayon*1
Gravure Personnalisée*1
Coffret Cadeau*1
 6 mines*1</t>
  </si>
  <si>
    <t>Le Crayon Intemporel - Nuit
Gravure Personnalisée
Coffret Cadeau
🎁 Mines colorées (100% off) - Pack de 6 mines | 36% d'économie</t>
  </si>
  <si>
    <t>Romain Thromas</t>
  </si>
  <si>
    <t>6A07054178044</t>
  </si>
  <si>
    <t xml:space="preserve">69 La Grande Vergne Moussac 86150 </t>
  </si>
  <si>
    <t>2026-07-06 02:16:54</t>
  </si>
  <si>
    <t>2026-07-08 12:51:28</t>
  </si>
  <si>
    <t>5233242-28006</t>
  </si>
  <si>
    <t>franck ksenowins</t>
  </si>
  <si>
    <t>6A07053384682</t>
  </si>
  <si>
    <t>35 Allée De Charlary Les Jardins Tolosans App 29</t>
  </si>
  <si>
    <t>2026-07-06 03:36:33</t>
  </si>
  <si>
    <t>2026-07-08 12:51:29</t>
  </si>
  <si>
    <t>5233242-28008</t>
  </si>
  <si>
    <t>Crayon*1
Gravure Personnalisée*1
 6 mines*1
Crayon*1
Gravure Personnalisée*1
Coffret Cadeau*1</t>
  </si>
  <si>
    <t>Le Crayon Intemporel - Nuit
Gravure Personnalisée
🎁 Mines colorées (100% off) - Pack de 6 mines | 36% d'économie
Le Crayon Intemporel - Obsidienne
Gravure Personnalisée
Coffret Cadeau</t>
  </si>
  <si>
    <t>Guelan Doyotte</t>
  </si>
  <si>
    <t>6A07054178051</t>
  </si>
  <si>
    <t xml:space="preserve">19 avenue de la libération </t>
  </si>
  <si>
    <t>2026-07-06 04:34:03</t>
  </si>
  <si>
    <t>2026-07-08 12:51:31</t>
  </si>
  <si>
    <t>5233242-28009</t>
  </si>
  <si>
    <t>Crayon*1
 Crayon*1
4 mines*1
 6 mines*1
Crayon*1</t>
  </si>
  <si>
    <t>Le Crayon Intemporel - Carmin
Le Crayon Intemporel - Aluminium
4 mines rechargeables
🎁 Mines colorées (100% off) - Pack de 6 mines | 36% d'économie
Le Crayon Intemporel - Saturne</t>
  </si>
  <si>
    <t>Coralie Husson</t>
  </si>
  <si>
    <t>6A07053384699</t>
  </si>
  <si>
    <t xml:space="preserve">19 bis Rue de l'Eau Benite </t>
  </si>
  <si>
    <t>2026-07-06 04:35:43</t>
  </si>
  <si>
    <t>2026-07-07 12:30:03</t>
  </si>
  <si>
    <t>5233242-28010</t>
  </si>
  <si>
    <t>Crayon*1
Gravure Personnalisée*1
Coffret Cadeau*1
Crayon*1
Gravure Personnalisée*1
Coffret Cadeau*1
 6 mines*1
Crayon*1
Gravure Personnalisée*1
Coffret Cadeau*1</t>
  </si>
  <si>
    <t>Le Crayon Intemporel - Nuit
Gravure Personnalisée
Coffret Cadeau
Le Crayon Intemporel - Nuit
Gravure Personnalisée
Coffret Cadeau
🎁 Mines colorées (100% off) - Pack de 6 mines | 36% d'économie
Le Crayon Intemporel - Nuit
Gravure Personnalisée
Coffret Cadeau</t>
  </si>
  <si>
    <t>Alexandre FERYN</t>
  </si>
  <si>
    <t>YT2618700701297652</t>
  </si>
  <si>
    <t xml:space="preserve">Rue Du Rocher 15 </t>
  </si>
  <si>
    <t>2026-07-06 06:16:10</t>
  </si>
  <si>
    <t>2026-07-08 13:07:20</t>
  </si>
  <si>
    <t>5233242-28011</t>
  </si>
  <si>
    <t>YT2618700701297678</t>
  </si>
  <si>
    <t>7.6订单27990-28011需雕刻铅笔已经全部统计</t>
  </si>
  <si>
    <t>2026-07-06 06:19:37</t>
  </si>
  <si>
    <t>2026-07-08 13:07:22</t>
  </si>
  <si>
    <t>5233242-28012</t>
  </si>
  <si>
    <t xml:space="preserve"> 6 mines*1
Crayon*1</t>
  </si>
  <si>
    <t>🎁 Mines colorées (100% off) - Pack de 6 mines | 36% d'économie
Le Crayon Intemporel - Obsidienne</t>
  </si>
  <si>
    <t>Caroline Tissot</t>
  </si>
  <si>
    <t>6A07054445672</t>
  </si>
  <si>
    <t xml:space="preserve">80 Impasse d'Artigeas </t>
  </si>
  <si>
    <t>2026-07-06 11:52:11</t>
  </si>
  <si>
    <t>2026-07-07 12:30:04</t>
  </si>
  <si>
    <t>5233242-28013</t>
  </si>
  <si>
    <t>Emir Birot</t>
  </si>
  <si>
    <t>6A07053813182</t>
  </si>
  <si>
    <t xml:space="preserve">18 Impasse Martin Peyricot </t>
  </si>
  <si>
    <t>2026-07-06 15:14:00</t>
  </si>
  <si>
    <t>2026-07-07 12:30:05</t>
  </si>
  <si>
    <t>5233242-28014</t>
  </si>
  <si>
    <t>4 mines*1
 6 mines*1
Crayon*1</t>
  </si>
  <si>
    <t>4 mines rechargeables
🎁 Mines colorées (100% off) - Pack de 6 mines | 36% d'économie
Le Crayon Intemporel - Obsidienne</t>
  </si>
  <si>
    <t>Ludovic Cunche</t>
  </si>
  <si>
    <t>6A07054645980</t>
  </si>
  <si>
    <t xml:space="preserve">21 Rue de l’Abbe N Simminger </t>
  </si>
  <si>
    <t>2026-07-06 16:40:03</t>
  </si>
  <si>
    <t>2026-07-07 12:30:06</t>
  </si>
  <si>
    <t>5233242-28015</t>
  </si>
  <si>
    <t>🎁 Mines colorées (100% off) - Pack de 6 mines | 36% d'économie
Le Crayon Intemporel - Saturne</t>
  </si>
  <si>
    <t>Lola Flores</t>
  </si>
  <si>
    <t>6A07055442502</t>
  </si>
  <si>
    <t xml:space="preserve">226 boulevard de Vanteaux </t>
  </si>
  <si>
    <t>2026-07-06 16:49:26</t>
  </si>
  <si>
    <t>2026-07-07 12:30:07</t>
  </si>
  <si>
    <t>5233242-28016</t>
  </si>
  <si>
    <t>Crayon*1
 Crayon*1
 6 mines*1
Crayon*1</t>
  </si>
  <si>
    <t>Le Crayon Intemporel - Obsidienne
Le Crayon Intemporel - Aluminium
🎁 Mines colorées (100% off) - Pack de 6 mines | 36% d'économie
Le Crayon Intemporel - Nuit</t>
  </si>
  <si>
    <t>Hugo Bourdrel</t>
  </si>
  <si>
    <t>6A07059273539</t>
  </si>
  <si>
    <t xml:space="preserve">100 Rue Gisele de Frioul </t>
  </si>
  <si>
    <t>2026-07-06 17:12:59</t>
  </si>
  <si>
    <t>2026-07-07 12:30:08</t>
  </si>
  <si>
    <t>5233242-28017</t>
  </si>
  <si>
    <t>🎁 Mines colorées (100% off) - Pack de 6 mines | 36% d'économie
Le Crayon Intemporel - Nuit</t>
  </si>
  <si>
    <t>Violaine Mousset</t>
  </si>
  <si>
    <t>6A07059273546</t>
  </si>
  <si>
    <t xml:space="preserve">484 Rue Du Scarabee </t>
  </si>
  <si>
    <t>2026-07-06 17:27:08</t>
  </si>
  <si>
    <t>2026-07-07 12:30:10</t>
  </si>
  <si>
    <t>5233242-28018</t>
  </si>
  <si>
    <t>Crayon*1
Crayon*1
 6 mines*1
Crayon*1
Gravure Personnalisée*1
Coffret Cadeau*1</t>
  </si>
  <si>
    <t>Le Crayon Intemporel - Nuit
Le Crayon Intemporel - Obsidienne
🎁 Mines colorées (100% off) - Pack de 6 mines | 36% d'économie
Le Crayon Intemporel - Obsidienne
Gravure Personnalisée
Coffret Cadeau</t>
  </si>
  <si>
    <t>Theo Bringel</t>
  </si>
  <si>
    <t>6A07060868359</t>
  </si>
  <si>
    <t xml:space="preserve">4 Rue Marivaux </t>
  </si>
  <si>
    <t>2026-07-06 17:35:02</t>
  </si>
  <si>
    <t>2026-07-09 12:04:32</t>
  </si>
  <si>
    <t>5233242-28019</t>
  </si>
  <si>
    <t>Victor Etienne</t>
  </si>
  <si>
    <t>6A07061666886</t>
  </si>
  <si>
    <t xml:space="preserve">41 Impasse du IV Septembre </t>
  </si>
  <si>
    <t>2026-07-06 18:37:18</t>
  </si>
  <si>
    <t>2026-07-09 12:04:34</t>
  </si>
  <si>
    <t>5233242-28020</t>
  </si>
  <si>
    <t>Crayon*1
Crayon*1
 6 mines*1
Crayon*1</t>
  </si>
  <si>
    <t>Le Crayon Intemporel - Carmin
Le Crayon Intemporel - Nuit
🎁 Mines colorées (100% off) - Pack de 6 mines | 36% d'économie
Le Crayon Intemporel - Saturne</t>
  </si>
  <si>
    <t>Florian Pansel</t>
  </si>
  <si>
    <t>6A07060079755</t>
  </si>
  <si>
    <t xml:space="preserve">14 Impasse Kornog </t>
  </si>
  <si>
    <t>2026-07-06 19:36:30</t>
  </si>
  <si>
    <t>2026-07-07 12:30:11</t>
  </si>
  <si>
    <t>5233242-28021</t>
  </si>
  <si>
    <t>Tania Stutzmann Rossi</t>
  </si>
  <si>
    <t>6A07061666916</t>
  </si>
  <si>
    <t>没有刻字标志，发普通的了</t>
  </si>
  <si>
    <t>131 Chemin Neuf Batiment B004</t>
  </si>
  <si>
    <t>2026-07-06 20:44:45</t>
  </si>
  <si>
    <t>2026-07-07 12:30:12</t>
  </si>
  <si>
    <t>5233242-28022</t>
  </si>
  <si>
    <t>Cécile Berton</t>
  </si>
  <si>
    <t>6A07061666923</t>
  </si>
  <si>
    <t xml:space="preserve">83 place de l’Hôtel de Ville </t>
  </si>
  <si>
    <t>2026-07-06 20:53:43</t>
  </si>
  <si>
    <t>2026-07-07 12:30:13</t>
  </si>
  <si>
    <t>5233242-28023</t>
  </si>
  <si>
    <t>Johan Hatsch</t>
  </si>
  <si>
    <t>6A07059273560</t>
  </si>
  <si>
    <t>10 Route Des Berlies</t>
  </si>
  <si>
    <t>2026-07-06 21:21:47</t>
  </si>
  <si>
    <t>2026-07-07 12:30:14</t>
  </si>
  <si>
    <t>5233242-28024</t>
  </si>
  <si>
    <t>🎁 Mines colorées (100% off) - Pack de 6 mines | 36% d'économie
Le Crayon Intemporel - Carmin</t>
  </si>
  <si>
    <t>Alex Lepetit</t>
  </si>
  <si>
    <t>6A07061666947</t>
  </si>
  <si>
    <t>164 Avenue de Saint-Nazaire Alex</t>
  </si>
  <si>
    <t>2026-07-06 21:50:10</t>
  </si>
  <si>
    <t>2026-07-07 12:30:15</t>
  </si>
  <si>
    <t>5233242-28025</t>
  </si>
  <si>
    <t>🎁 Mines colorées (100% off) - Pack de 6 mines | 36% d'économie
Le Crayon Intemporel - Obsidienne
Gravure Personnalisée</t>
  </si>
  <si>
    <t>Katia Periot</t>
  </si>
  <si>
    <t>6A07060079779</t>
  </si>
  <si>
    <t xml:space="preserve">2 RUE DE LA CHAPELLE </t>
  </si>
  <si>
    <t>2026-07-06 22:18:44</t>
  </si>
  <si>
    <t>2026-07-09 12:04:36</t>
  </si>
  <si>
    <t>5233242-28026</t>
  </si>
  <si>
    <t>4 mines rechargeables
🎁 Mines colorées (100% off) - Pack de 6 mines | 36% d'économie
Le Crayon Intemporel - Carmin</t>
  </si>
  <si>
    <t>Michael Dozo</t>
  </si>
  <si>
    <t>LD797165242BE</t>
  </si>
  <si>
    <t xml:space="preserve">Rue Reine Astrid 97 </t>
  </si>
  <si>
    <t>2026-07-06 22:37:44</t>
  </si>
  <si>
    <t>2026-07-07 13:22:50</t>
  </si>
  <si>
    <t>5233242-28027</t>
  </si>
  <si>
    <t>Laura Viano</t>
  </si>
  <si>
    <t>6A07060868380</t>
  </si>
  <si>
    <t xml:space="preserve">Route de la carretere, 31430 Route de Pouy de Touges </t>
  </si>
  <si>
    <t>2026-07-06 23:05:22</t>
  </si>
  <si>
    <t>2026-07-07 12:30:16</t>
  </si>
  <si>
    <t>5233242-28028</t>
  </si>
  <si>
    <t>Benjamin Klein</t>
  </si>
  <si>
    <t>6A07060079786</t>
  </si>
  <si>
    <t xml:space="preserve">138 Rue Du Nivolet </t>
  </si>
  <si>
    <t>2026-07-07 00:20:12</t>
  </si>
  <si>
    <t>2026-07-07 12:30:17</t>
  </si>
  <si>
    <t>5233242-28029</t>
  </si>
  <si>
    <t>Simon Tourtrol</t>
  </si>
  <si>
    <t>6A07059273577</t>
  </si>
  <si>
    <t xml:space="preserve">10 Rue Jean Moulin </t>
  </si>
  <si>
    <t>2026-07-07 00:36:43</t>
  </si>
  <si>
    <t>2026-07-07 12:30:19</t>
  </si>
  <si>
    <t>5233242-28030</t>
  </si>
  <si>
    <t xml:space="preserve"> 6 mines*1
 Crayon*1</t>
  </si>
  <si>
    <t>🎁 Mines colorées (100% off) - Pack de 6 mines | 36% d'économie
Le Crayon Intemporel - Aluminium</t>
  </si>
  <si>
    <t>Maïa Pernet</t>
  </si>
  <si>
    <t>6A07061666954</t>
  </si>
  <si>
    <t xml:space="preserve">14 Rue de la Poix Verte </t>
  </si>
  <si>
    <t>2026-07-07 02:05:10</t>
  </si>
  <si>
    <t>2026-07-07 12:30:20</t>
  </si>
  <si>
    <t>5233242-28031</t>
  </si>
  <si>
    <t>Crayon*1
 6 mines*1</t>
  </si>
  <si>
    <t>Le Crayon Intemporel - Jade
🎁 Mines colorées (100% off) - Pack de 6 mines | 36% d'économie</t>
  </si>
  <si>
    <t>laurent barret</t>
  </si>
  <si>
    <t>6A07059273591</t>
  </si>
  <si>
    <t xml:space="preserve">102 Rue du Bourg </t>
  </si>
  <si>
    <t>2026-07-07 02:15:17</t>
  </si>
  <si>
    <t>2026-07-07 12:30:21</t>
  </si>
  <si>
    <t>5233242-28032</t>
  </si>
  <si>
    <t>Crayon*1
Gravure Personnalisée*1
Crayon*1
Gravure Personnalisée*1
 6 mines*1
 Crayon*1
Gravure Personnalisée*1</t>
  </si>
  <si>
    <t>Le Crayon Intemporel - Nuit
Gravure Personnalisée
Le Crayon Intemporel - Nuit
Gravure Personnalisée
🎁 Mines colorées (100% off) - Pack de 6 mines | 36% d'économie
Le Crayon Intemporel - Aluminium
Gravure Personnalisée</t>
  </si>
  <si>
    <t>Emmanuelle Dubocage</t>
  </si>
  <si>
    <t>6A07060868403</t>
  </si>
  <si>
    <t xml:space="preserve">17 Rue Thouin </t>
  </si>
  <si>
    <t>2026-07-07 02:33:46</t>
  </si>
  <si>
    <t>2026-07-09 12:04:38</t>
  </si>
  <si>
    <t>5233242-28033</t>
  </si>
  <si>
    <t>Coffret Cadeau*1
 6 mines*1
 Crayon*1
Gravure Personnalisée*1</t>
  </si>
  <si>
    <t>Coffret Cadeau
🎁 Mines colorées (100% off) - Pack de 6 mines | 36% d'économie
Le Crayon Intemporel - Aluminium
Gravure Personnalisée</t>
  </si>
  <si>
    <t>Alice Benoit</t>
  </si>
  <si>
    <t>6A07059273607</t>
  </si>
  <si>
    <t xml:space="preserve">56bis Rue de la Ferté </t>
  </si>
  <si>
    <t>2026-07-07 04:41:28</t>
  </si>
  <si>
    <t>2026-07-09 12:04:40</t>
  </si>
  <si>
    <t>5233242-28034</t>
  </si>
  <si>
    <t>Yann Pardies</t>
  </si>
  <si>
    <t>6A07060079793</t>
  </si>
  <si>
    <t xml:space="preserve">38 Rue Guanille </t>
  </si>
  <si>
    <t>2026-07-07 05:08:35</t>
  </si>
  <si>
    <t>2026-07-07 12:30:22</t>
  </si>
  <si>
    <t>5233242-28035</t>
  </si>
  <si>
    <t>Raphael Achcar</t>
  </si>
  <si>
    <t>YT2618800701083530</t>
  </si>
  <si>
    <t>7.7订单28012-28035需雕刻的铅笔已经统计</t>
  </si>
  <si>
    <t xml:space="preserve">Chemin de la Blonde 36C </t>
  </si>
  <si>
    <t>2026-07-07 06:28:20</t>
  </si>
  <si>
    <t>2026-07-07 12:54:33</t>
  </si>
  <si>
    <t>5233242-28036</t>
  </si>
  <si>
    <t>Quentin Petit</t>
  </si>
  <si>
    <t>6A07060332201</t>
  </si>
  <si>
    <t xml:space="preserve">18 Rue De Dieuze </t>
  </si>
  <si>
    <t>2026-07-07 11:05:30</t>
  </si>
  <si>
    <t>2026-07-10 11:59:53</t>
  </si>
  <si>
    <t>5233242-28037</t>
  </si>
  <si>
    <t>Crayon*1
4 mines*1
 Crayon*1
Crayon*1
 6 mines*1</t>
  </si>
  <si>
    <t>Le Crayon Intemporel - Obsidienne
4 mines rechargeables
Le Crayon Intemporel - Aluminium
Le Crayon Intemporel - Carmin
🎁 Mines colorées (100% off) - Pack de 6 mines | 36% d'économie</t>
  </si>
  <si>
    <t>SANDRINE TURK</t>
  </si>
  <si>
    <t>6A07059526161</t>
  </si>
  <si>
    <t xml:space="preserve">23 RUE DES PIJOLINS </t>
  </si>
  <si>
    <t>2026-07-07 14:07:30</t>
  </si>
  <si>
    <t>2026-07-08 12:51:32</t>
  </si>
  <si>
    <t>5233242-28038</t>
  </si>
  <si>
    <t>Raphael Richard François SALHI</t>
  </si>
  <si>
    <t>6A07062013689</t>
  </si>
  <si>
    <t xml:space="preserve">11 Rue Sébastien de Bouard </t>
  </si>
  <si>
    <t>2026-07-07 16:29:11</t>
  </si>
  <si>
    <t>2026-07-08 12:51:33</t>
  </si>
  <si>
    <t>5233242-28039</t>
  </si>
  <si>
    <t xml:space="preserve"> Crayon*1
Crayon*1
Crayon*1
4 mine*1
 6 mines*1</t>
  </si>
  <si>
    <t>Le Crayon Intemporel - Aluminium
Le Crayon Intemporel - Nuit
Le Crayon Intemporel - Carmin
Lot de 4 mines rechargeables
🎁 Mines colorées (100% off) - Pack de 6 mines | 36% d'économie</t>
  </si>
  <si>
    <t>Bernadette Cléda</t>
  </si>
  <si>
    <t>LD797133528BE</t>
  </si>
  <si>
    <t>Hoegaardsestraat 28 28</t>
  </si>
  <si>
    <t>2026-07-07 16:53:09</t>
  </si>
  <si>
    <t>2026-07-08 12:51:35</t>
  </si>
  <si>
    <t>5233242-28040</t>
  </si>
  <si>
    <t>Saadi Hentati</t>
  </si>
  <si>
    <t>LD797441594BE</t>
  </si>
  <si>
    <t>Avenue Ferdauci 44 Boite 3</t>
  </si>
  <si>
    <t>2026-07-07 17:28:48</t>
  </si>
  <si>
    <t>2026-07-10 12:04:18</t>
  </si>
  <si>
    <t>5233242-28041</t>
  </si>
  <si>
    <t>Crayon*2
 6 mines*1
4 mines*1
Crayon*1</t>
  </si>
  <si>
    <t>Le Crayon Intemporel - Obsidienne
🎁 Mines colorées (100% off) - Pack de 6 mines | 36% d'économie
4 mines rechargeables
Le Crayon Intemporel - Nuit</t>
  </si>
  <si>
    <t>Laurence Ruffieux</t>
  </si>
  <si>
    <t xml:space="preserve">Route de Pré-Marais </t>
  </si>
  <si>
    <t>2026-07-07 18:17:34</t>
  </si>
  <si>
    <t>5233242-28042</t>
  </si>
  <si>
    <t>Le Crayon Intemporel - Jade
Le Crayon Intemporel - Aluminium
🎁 Mines colorées (100% off) - Pack de 6 mines | 36% d'économie
Le Crayon Intemporel - Obsidienne</t>
  </si>
  <si>
    <t>Maxime Munari Maxime Munari</t>
  </si>
  <si>
    <t>6A07064184196</t>
  </si>
  <si>
    <t>44 Rue Louis-Auguste Blanqui 1 Er étage - Appartement De Droite</t>
  </si>
  <si>
    <t>2026-07-07 18:43:01</t>
  </si>
  <si>
    <t>2026-07-08 12:51:36</t>
  </si>
  <si>
    <t>5233242-28043</t>
  </si>
  <si>
    <t>Harmony Bonhomme</t>
  </si>
  <si>
    <t>6A07065766766</t>
  </si>
  <si>
    <t xml:space="preserve">555 Chemin De Fiougier </t>
  </si>
  <si>
    <t>2026-07-07 18:54:18</t>
  </si>
  <si>
    <t>2026-07-10 11:59:55</t>
  </si>
  <si>
    <t>5233242-28044</t>
  </si>
  <si>
    <t>Julien Van Aken</t>
  </si>
  <si>
    <t>LD797273220BE</t>
  </si>
  <si>
    <t>Rue de la Halle 17 C02</t>
  </si>
  <si>
    <t>2026-07-07 19:37:07</t>
  </si>
  <si>
    <t>5233242-28045</t>
  </si>
  <si>
    <t>Margaux Forestier</t>
  </si>
  <si>
    <t>6A07064978696</t>
  </si>
  <si>
    <t xml:space="preserve">29 Rue de la République </t>
  </si>
  <si>
    <t>2026-07-07 20:14:45</t>
  </si>
  <si>
    <t>2026-07-08 12:51:37</t>
  </si>
  <si>
    <t>5233242-28046</t>
  </si>
  <si>
    <t>Crayon*1
4 mines*1
Crayon*1
 6 mines*1
Crayon*1
Gravure Personnalisée*1</t>
  </si>
  <si>
    <t>Le Crayon Intemporel - Nuit
4 mines rechargeables
Le Crayon Intemporel - Obsidienne
🎁 Mines colorées (100% off) - Pack de 6 mines | 36% d'économie
Le Crayon Intemporel - Carmin
Gravure Personnalisée</t>
  </si>
  <si>
    <t>Iris Fernandez Lorfeuvre</t>
  </si>
  <si>
    <t>6A07066572526</t>
  </si>
  <si>
    <t xml:space="preserve">19 Rue Nouvelle </t>
  </si>
  <si>
    <t>2026-07-07 21:07:02</t>
  </si>
  <si>
    <t>2026-07-10 11:59:57</t>
  </si>
  <si>
    <t>5233242-28047</t>
  </si>
  <si>
    <t>manel bounif</t>
  </si>
  <si>
    <t>6A07064978719</t>
  </si>
  <si>
    <t xml:space="preserve">2490 Avenue du Bruilhois </t>
  </si>
  <si>
    <t>2026-07-07 22:31:02</t>
  </si>
  <si>
    <t>2026-07-08 12:51:38</t>
  </si>
  <si>
    <t>5233242-28048</t>
  </si>
  <si>
    <t>Crayon*1
Gravure Personnalisée*1
Crayon*1
Gravure Personnalisée*1
Crayon*1
 6 mines*1</t>
  </si>
  <si>
    <t>Le Crayon Intemporel - Nuit
Gravure Personnalisée
Le Crayon Intemporel - Carmin
Gravure Personnalisée
Le Crayon Intemporel - Obsidienne
🎁 Mines colorées (100% off) - Pack de 6 mines | 36% d'économie</t>
  </si>
  <si>
    <t>Thomas Serrano</t>
  </si>
  <si>
    <t>6A07064978726</t>
  </si>
  <si>
    <t>7.8订单28048其中一支黑色有雕刻内容 但没有雕刻标识  已经添加雕刻内容Papa</t>
  </si>
  <si>
    <t xml:space="preserve">21 Boulevard Garibaldi </t>
  </si>
  <si>
    <t>2026-07-07 22:44:50</t>
  </si>
  <si>
    <t>2026-07-10 12:13:24</t>
  </si>
  <si>
    <t>5233242-28049</t>
  </si>
  <si>
    <t>Jérôme Majtan</t>
  </si>
  <si>
    <t>6A07066572564</t>
  </si>
  <si>
    <t xml:space="preserve">9 Impasse des Grandes Raisses </t>
  </si>
  <si>
    <t>2026-07-07 23:14:45</t>
  </si>
  <si>
    <t>2026-07-08 12:51:39</t>
  </si>
  <si>
    <t>5233242-28050</t>
  </si>
  <si>
    <t>12 mines*1
4 mines*1
Crayon*1
Gravure Personnalisée*1
Coffret Cadeau*1
 6 mines*1</t>
  </si>
  <si>
    <t>Mines colorées - Pack de 12 mines | 47% d'économie
4 mines rechargeables
Le Crayon Intemporel - Saturne
Gravure Personnalisée
Coffret Cadeau
🎁 Mines colorées (100% off) - Pack de 6 mines | 36% d'économie</t>
  </si>
  <si>
    <t>yasmine bairhou</t>
  </si>
  <si>
    <t>YT2619000701250812</t>
  </si>
  <si>
    <t>Via Mattorino Agra 0</t>
  </si>
  <si>
    <t>2026-07-07 23:19:53</t>
  </si>
  <si>
    <t>2026-07-10 12:04:20</t>
  </si>
  <si>
    <t>5233242-28051</t>
  </si>
  <si>
    <t>Crayon*1
Gravure Personnalisée*1
4 mines*1
 6 mines*1</t>
  </si>
  <si>
    <t>Le Crayon Intemporel - Carmin
Gravure Personnalisée
4 mines rechargeables
🎁 Mines colorées (100% off) - Pack de 6 mines | 36% d'économie</t>
  </si>
  <si>
    <t>Flavie Albaret</t>
  </si>
  <si>
    <t>6A07082306242</t>
  </si>
  <si>
    <t xml:space="preserve">27 rue Jean Claret </t>
  </si>
  <si>
    <t>2026-07-07 23:50:46</t>
  </si>
  <si>
    <t>2026-07-10 12:35:41</t>
  </si>
  <si>
    <t>5233242-28052</t>
  </si>
  <si>
    <t>Mathieu Perez</t>
  </si>
  <si>
    <t>6A07064184257</t>
  </si>
  <si>
    <t xml:space="preserve">13 Rue Des Mimosas </t>
  </si>
  <si>
    <t>2026-07-08 00:15:19</t>
  </si>
  <si>
    <t>2026-07-08 12:51:40</t>
  </si>
  <si>
    <t>5233242-28053</t>
  </si>
  <si>
    <t>Marion Bouquet</t>
  </si>
  <si>
    <t>6A07066572632</t>
  </si>
  <si>
    <t>26 Rue Des Postes Bâtiment C, appartement 211 (avoir un badge pour rentrer)</t>
  </si>
  <si>
    <t>2026-07-08 00:38:15</t>
  </si>
  <si>
    <t>2026-07-08 12:51:41</t>
  </si>
  <si>
    <t>5233242-28054</t>
  </si>
  <si>
    <t>Coffret Cadeau*1
 6 mines*1
12 mines*1</t>
  </si>
  <si>
    <t>Coffret Cadeau
🎁 Mines colorées (100% off) - Pack de 6 mines | 36% d'économie
Mines colorées - Pack de 12 mines | 47% d'économie</t>
  </si>
  <si>
    <t>Bianka Briere</t>
  </si>
  <si>
    <t>EM200013826907CA</t>
  </si>
  <si>
    <t>5264 Rue De Charleroi 301</t>
  </si>
  <si>
    <t>2026-07-08 01:04:06</t>
  </si>
  <si>
    <t>2026-07-08 13:07:23</t>
  </si>
  <si>
    <t>5233242-28055</t>
  </si>
  <si>
    <t>Crayon*1
4 mines*1
 6 mines*1</t>
  </si>
  <si>
    <t>Le Crayon Intemporel - Carmin
4 mines rechargeables
🎁 Mines colorées (100% off) - Pack de 6 mines | 36% d'économie</t>
  </si>
  <si>
    <t>Sylvie Fillatre</t>
  </si>
  <si>
    <t>6A07066572656</t>
  </si>
  <si>
    <t xml:space="preserve">31 bis rue de l ile </t>
  </si>
  <si>
    <t>2026-07-08 02:05:35</t>
  </si>
  <si>
    <t>2026-07-08 12:51:42</t>
  </si>
  <si>
    <t>5233242-28056</t>
  </si>
  <si>
    <t xml:space="preserve"> 6 mines*1
4 mine*1</t>
  </si>
  <si>
    <t>🎁 Mines colorées (100% off) - Pack de 6 mines | 36% d'économie
Lot de 4 mines rechargeables</t>
  </si>
  <si>
    <t>Maxime Filippi</t>
  </si>
  <si>
    <t>6A07064184301</t>
  </si>
  <si>
    <t xml:space="preserve">1 Impasse du taro </t>
  </si>
  <si>
    <t>2026-07-08 02:42:56</t>
  </si>
  <si>
    <t>2026-07-08 12:51:43</t>
  </si>
  <si>
    <t>5233242-28057</t>
  </si>
  <si>
    <t>🎁 Mines colorées (100% off) - Pack de 6 mines | 36% d'économie
Le Crayon Intemporel - Jade</t>
  </si>
  <si>
    <t>Catherine Hebrans</t>
  </si>
  <si>
    <t>LD797273159BE</t>
  </si>
  <si>
    <t xml:space="preserve">Rue du Huit Mai, 15 </t>
  </si>
  <si>
    <t>2026-07-08 03:27:42</t>
  </si>
  <si>
    <t>5233242-28058</t>
  </si>
  <si>
    <t>Laurent Wegmuller</t>
  </si>
  <si>
    <t>YT2618900701070295</t>
  </si>
  <si>
    <t xml:space="preserve">Route de Lullier 48 </t>
  </si>
  <si>
    <t>2026-07-08 04:16:42</t>
  </si>
  <si>
    <t>2026-07-08 13:07:24</t>
  </si>
  <si>
    <t>5233242-28059</t>
  </si>
  <si>
    <t>Naïs Ambert</t>
  </si>
  <si>
    <t>6A07064184318</t>
  </si>
  <si>
    <t>7.8订单28036-28059需雕刻的铅笔已经全统计</t>
  </si>
  <si>
    <t xml:space="preserve">8 Rue des Érables </t>
  </si>
  <si>
    <t>2026-07-08 05:53:01</t>
  </si>
  <si>
    <t>2026-07-08 12:51:44</t>
  </si>
  <si>
    <t>5233242-28060</t>
  </si>
  <si>
    <t xml:space="preserve"> 6 mines*1
Crayon*1
Gravure Personnalisée*1
Coffret Cadeau*1</t>
  </si>
  <si>
    <t>🎁 Mines colorées (100% off) - Pack de 6 mines | 36% d'économie
Le Crayon Intemporel - Obsidienne
Gravure Personnalisée
Coffret Cadeau</t>
  </si>
  <si>
    <t>Samuel melly</t>
  </si>
  <si>
    <t>YT2618900706873784</t>
  </si>
  <si>
    <t>Rue des Cinq 4000 18</t>
  </si>
  <si>
    <t>2026-07-08 16:19:21</t>
  </si>
  <si>
    <t>2026-07-11 12:19:25</t>
  </si>
  <si>
    <t>5233242-28061</t>
  </si>
  <si>
    <t>Patricia BRIOSCA</t>
  </si>
  <si>
    <t>6A07084613287</t>
  </si>
  <si>
    <t xml:space="preserve">9 Impasse Rose Puget </t>
  </si>
  <si>
    <t>2026-07-08 16:40:56</t>
  </si>
  <si>
    <t>2026-07-09 12:04:41</t>
  </si>
  <si>
    <t>5233242-28062</t>
  </si>
  <si>
    <t>Sacha Lieutier</t>
  </si>
  <si>
    <t>6A07075022258</t>
  </si>
  <si>
    <t xml:space="preserve">137 Chemin De La Charrette </t>
  </si>
  <si>
    <t>2026-07-08 17:25:46</t>
  </si>
  <si>
    <t>2026-07-09 12:04:42</t>
  </si>
  <si>
    <t>5233242-28063</t>
  </si>
  <si>
    <t xml:space="preserve"> 6 mines*1
Crayon*2
Crayon*1</t>
  </si>
  <si>
    <t>🎁 Mines colorées (100% off) - Pack de 6 mines | 36% d'économie
Le Crayon Intemporel - Obsidienne
Le Crayon Intemporel - Obsidienne</t>
  </si>
  <si>
    <t>Morgan Lalfond</t>
  </si>
  <si>
    <t>6A07081417550</t>
  </si>
  <si>
    <t xml:space="preserve">103 Avenue D’embrun </t>
  </si>
  <si>
    <t>2026-07-08 17:35:44</t>
  </si>
  <si>
    <t>2026-07-09 12:04:43</t>
  </si>
  <si>
    <t>5233242-28064</t>
  </si>
  <si>
    <t>Crayon*1
 6 mines*1
Crayon*1
Crayon*1</t>
  </si>
  <si>
    <t>Le Crayon Intemporel - Carmin
🎁 Mines colorées (100% off) - Pack de 6 mines | 36% d'économie
Le Crayon Intemporel - Nuit
Le Crayon Intemporel - Saturne</t>
  </si>
  <si>
    <t>Hugo Caloustian</t>
  </si>
  <si>
    <t>6A07081417567</t>
  </si>
  <si>
    <t>24 Lotissement plein Soleil 600 route de Marseille</t>
  </si>
  <si>
    <t>2026-07-08 17:50:14</t>
  </si>
  <si>
    <t>2026-07-09 12:04:44</t>
  </si>
  <si>
    <t>5233242-28065</t>
  </si>
  <si>
    <t>Crayon*1
Gravure Personnalisée*1
Crayon*1
Gravure Personnalisée*1
 6 mines*1
Crayon*1
Gravure Personnalisée*1</t>
  </si>
  <si>
    <t>Le Crayon Intemporel - Jade
Gravure Personnalisée
Le Crayon Intemporel - Obsidienne
Gravure Personnalisée
🎁 Mines colorées (100% off) - Pack de 6 mines | 36% d'économie
Le Crayon Intemporel - Saturne
Gravure Personnalisée</t>
  </si>
  <si>
    <t>Stephane Vinadelle</t>
  </si>
  <si>
    <t>6A07075022265</t>
  </si>
  <si>
    <t>20 Rue Johannes Kepler App B2.2</t>
  </si>
  <si>
    <t>2026-07-08 18:56:51</t>
  </si>
  <si>
    <t>2026-07-11 12:04:50</t>
  </si>
  <si>
    <t>5233242-28066</t>
  </si>
  <si>
    <t>Le Crayon Intemporel - Jade
4 mines rechargeables
🎁 Mines colorées (100% off) - Pack de 6 mines | 36% d'économie</t>
  </si>
  <si>
    <t>Quentin Genevoix</t>
  </si>
  <si>
    <t>6A07078219235</t>
  </si>
  <si>
    <t xml:space="preserve">90 Rue Gosset </t>
  </si>
  <si>
    <t>2026-07-08 19:20:59</t>
  </si>
  <si>
    <t>2026-07-09 12:04:45</t>
  </si>
  <si>
    <t>5233242-28067</t>
  </si>
  <si>
    <t>Pascaline Bois</t>
  </si>
  <si>
    <t>6A07075022296</t>
  </si>
  <si>
    <t>3 Allée Hugues Cosnier Apt 112</t>
  </si>
  <si>
    <t>2026-07-08 19:22:15</t>
  </si>
  <si>
    <t>2026-07-11 12:04:51</t>
  </si>
  <si>
    <t>5233242-28068</t>
  </si>
  <si>
    <t>Sylia Tondellier</t>
  </si>
  <si>
    <t>6A07084613317</t>
  </si>
  <si>
    <t xml:space="preserve">31 Boulevard de Diergé </t>
  </si>
  <si>
    <t>2026-07-08 19:22:24</t>
  </si>
  <si>
    <t>2026-07-11 12:04:53</t>
  </si>
  <si>
    <t>5233242-28069</t>
  </si>
  <si>
    <t>Le Crayon Intemporel - Obsidienne
Le Crayon Intemporel - Nuit
🎁 Mines colorées (100% off) - Pack de 6 mines | 36% d'économie
Le Crayon Intemporel - Carmin</t>
  </si>
  <si>
    <t>Loïc Bres</t>
  </si>
  <si>
    <t>6A07078219242</t>
  </si>
  <si>
    <t xml:space="preserve">51 bis rue de la gare </t>
  </si>
  <si>
    <t>2026-07-08 19:32:40</t>
  </si>
  <si>
    <t>2026-07-09 12:04:46</t>
  </si>
  <si>
    <t>5233242-28070</t>
  </si>
  <si>
    <t>Maxime Simus</t>
  </si>
  <si>
    <t>LD797353149BE</t>
  </si>
  <si>
    <t xml:space="preserve">Chaussée Brunehault 289 </t>
  </si>
  <si>
    <t>2026-07-08 19:45:31</t>
  </si>
  <si>
    <t>2026-07-09 12:08:22</t>
  </si>
  <si>
    <t>5233242-28071</t>
  </si>
  <si>
    <t>Leony Audoin</t>
  </si>
  <si>
    <t>6A07081417581</t>
  </si>
  <si>
    <t xml:space="preserve">190 Route de Gap </t>
  </si>
  <si>
    <t>2026-07-08 19:47:58</t>
  </si>
  <si>
    <t>2026-07-09 12:04:47</t>
  </si>
  <si>
    <t>45242109231368*1
QB-Bleu clair-1*1</t>
  </si>
  <si>
    <t>Le Crayon Intemporel - Obsidienne
Mines colorées - Bleu clair</t>
  </si>
  <si>
    <t>87500156640606</t>
  </si>
  <si>
    <t>法国仓库发货</t>
  </si>
  <si>
    <t>2026-07-26 07:43:14</t>
  </si>
  <si>
    <t>2026-07-31 07:52:44</t>
  </si>
  <si>
    <t>5233242-28072</t>
  </si>
  <si>
    <t>Simon-Pierre Durand</t>
  </si>
  <si>
    <t>LD797578460BE</t>
  </si>
  <si>
    <t xml:space="preserve">Avenue de la Bugrane 62 </t>
  </si>
  <si>
    <t>2026-07-08 19:50:27</t>
  </si>
  <si>
    <t>5233242-28073</t>
  </si>
  <si>
    <t>🎁 Mines colorées (100% off) - Pack de 6 mines | 36% d'économie
Le Crayon Intemporel - Saturne
Gravure Personnalisée</t>
  </si>
  <si>
    <t>Romain Gambari</t>
  </si>
  <si>
    <t>6A07084613348</t>
  </si>
  <si>
    <t xml:space="preserve">330 Boulevard des Anciens Combattants </t>
  </si>
  <si>
    <t>2026-07-08 20:15:00</t>
  </si>
  <si>
    <t>2026-07-11 12:04:55</t>
  </si>
  <si>
    <t>5233242-28074</t>
  </si>
  <si>
    <t>Tiphanie Kreuter</t>
  </si>
  <si>
    <t>6A07078219266</t>
  </si>
  <si>
    <t xml:space="preserve">1 Allee Des Iris </t>
  </si>
  <si>
    <t>2026-07-08 20:27:29</t>
  </si>
  <si>
    <t>2026-07-09 12:04:48</t>
  </si>
  <si>
    <t>5233242-28075</t>
  </si>
  <si>
    <t>Le Crayon Intemporel - Nuit
Le Crayon Intemporel - Carmin
🎁 Mines colorées (100% off) - Pack de 6 mines | 36% d'économie
Le Crayon Intemporel - Obsidienne</t>
  </si>
  <si>
    <t>Safi CARVALHAIS</t>
  </si>
  <si>
    <t>6A07075022302</t>
  </si>
  <si>
    <t>2 Rue Clavetière Étage 1, Appart 7</t>
  </si>
  <si>
    <t>2026-07-08 21:22:35</t>
  </si>
  <si>
    <t>2026-07-09 12:04:49</t>
  </si>
  <si>
    <t>5233242-28076</t>
  </si>
  <si>
    <t>12 mines*1
 6 mines*1
Crayon*2
Gravure Personnalisée*2</t>
  </si>
  <si>
    <t>Mines colorées - Pack de 12 mines | 47% d'économie
🎁 Mines colorées (100% off) - Pack de 6 mines | 36% d'économie
Le Crayon Intemporel - Obsidienne
Gravure Personnalisée</t>
  </si>
  <si>
    <t>Matthieu Girot</t>
  </si>
  <si>
    <t>6A07084613379</t>
  </si>
  <si>
    <t xml:space="preserve">10 Le Chesnay Listre </t>
  </si>
  <si>
    <t>2026-07-08 22:26:22</t>
  </si>
  <si>
    <t>2026-07-11 12:04:57</t>
  </si>
  <si>
    <t>5233242-28077</t>
  </si>
  <si>
    <t>4 mines*2
 6 mines*1
Crayon*2
Crayon*1</t>
  </si>
  <si>
    <t>4 mines rechargeables
🎁 Mines colorées (100% off) - Pack de 6 mines | 36% d'économie
Le Crayon Intemporel - Carmin
Le Crayon Intemporel - Carmin</t>
  </si>
  <si>
    <t>FABIENNE COLLONGE</t>
  </si>
  <si>
    <t>6A07084613386</t>
  </si>
  <si>
    <t xml:space="preserve">43 Place des Tilleuls </t>
  </si>
  <si>
    <t>2026-07-08 22:58:38</t>
  </si>
  <si>
    <t>2026-07-09 12:04:51</t>
  </si>
  <si>
    <t>5233242-28078</t>
  </si>
  <si>
    <t>Crayon*1
 6 mines*1
Crayon*1
6 mines*1
 Crayon*1</t>
  </si>
  <si>
    <t>Le Crayon Intemporel - Carmin
🎁 Mines colorées (100% off) - Pack de 6 mines | 36% d'économie
Le Crayon Intemporel - Obsidienne
Mines colorées - Pack de 6 mines | 36% d'économie
Le Crayon Intemporel - Aluminium</t>
  </si>
  <si>
    <t>Quentin Thiry</t>
  </si>
  <si>
    <t>LD797364892BE</t>
  </si>
  <si>
    <t>Rue Camus 60 B03</t>
  </si>
  <si>
    <t>2026-07-08 23:43:53</t>
  </si>
  <si>
    <t>QB /YY*1</t>
  </si>
  <si>
    <t>QB  Aluminium</t>
  </si>
  <si>
    <t>LD798400273BE</t>
  </si>
  <si>
    <t>2026-07-17 20:02:49</t>
  </si>
  <si>
    <t>5233242-28079</t>
  </si>
  <si>
    <t>Nathan Fraudeau</t>
  </si>
  <si>
    <t>6A07078219297</t>
  </si>
  <si>
    <t xml:space="preserve">388 Chemin du Canal </t>
  </si>
  <si>
    <t>2026-07-09 00:59:29</t>
  </si>
  <si>
    <t>2026-07-09 12:04:52</t>
  </si>
  <si>
    <t>5233242-28080</t>
  </si>
  <si>
    <t>Crayon*1
Crayon*1
Crayon*1
Gravure Personnalisée*1
Coffret Cadeau*1
 6 mines*1</t>
  </si>
  <si>
    <t>Le Crayon Intemporel - Carmin
Le Crayon Intemporel - Nuit
Le Crayon Intemporel - Saturne
Gravure Personnalisée
Coffret Cadeau
🎁 Mines colorées (100% off) - Pack de 6 mines | 36% d'économie</t>
  </si>
  <si>
    <t>Corentin FRADON</t>
  </si>
  <si>
    <t>6A07084613409</t>
  </si>
  <si>
    <t>6 Résidence Du Moulin Rose Bâtiment F1 Étage 2 Appartement 4</t>
  </si>
  <si>
    <t>2026-07-09 01:02:48</t>
  </si>
  <si>
    <t>2026-07-11 12:04:58</t>
  </si>
  <si>
    <t>5233242-28081</t>
  </si>
  <si>
    <t>Ludivine Leroy</t>
  </si>
  <si>
    <t>6A07081417611</t>
  </si>
  <si>
    <t xml:space="preserve">126 route de villiersfaux </t>
  </si>
  <si>
    <t>2026-07-09 01:59:23</t>
  </si>
  <si>
    <t>2026-07-09 12:04:53</t>
  </si>
  <si>
    <t>5233242-28082</t>
  </si>
  <si>
    <t>Nathan Banach</t>
  </si>
  <si>
    <t>6A07084613430</t>
  </si>
  <si>
    <t xml:space="preserve">17 Rue William Brouillard </t>
  </si>
  <si>
    <t>2026-07-09 02:34:24</t>
  </si>
  <si>
    <t>2026-07-11 12:05:00</t>
  </si>
  <si>
    <t>5233242-28083</t>
  </si>
  <si>
    <t>4 mines*1
 6 mines*1
Crayon*1
Gravure Personnalisée*1</t>
  </si>
  <si>
    <t>4 mines rechargeables
🎁 Mines colorées (100% off) - Pack de 6 mines | 36% d'économie
Le Crayon Intemporel - Nuit
Gravure Personnalisée</t>
  </si>
  <si>
    <t>ALEXANDRA DUFOUR</t>
  </si>
  <si>
    <t>6A07078219303</t>
  </si>
  <si>
    <t>1 Rue de la Division Leclerc Village café</t>
  </si>
  <si>
    <t>2026-07-09 02:41:03</t>
  </si>
  <si>
    <t>2026-07-11 12:22:20</t>
  </si>
  <si>
    <t>5233242-28084</t>
  </si>
  <si>
    <t>12 mines*1
4 mines*1
Crayon*1
Crayon*1
 6 mines*1
Crayon*1</t>
  </si>
  <si>
    <t>Mines colorées - Pack de 12 mines | 47% d'économie
4 mines rechargeables
Le Crayon Intemporel - Nuit
Le Crayon Intemporel - Jade
🎁 Mines colorées (100% off) - Pack de 6 mines | 36% d'économie
Le Crayon Intemporel - Obsidienne</t>
  </si>
  <si>
    <t>Sophie Louis</t>
  </si>
  <si>
    <t>6A07078219310</t>
  </si>
  <si>
    <t xml:space="preserve">16 rue du Prieuré </t>
  </si>
  <si>
    <t>2026-07-09 03:05:40</t>
  </si>
  <si>
    <t>2026-07-09 12:04:54</t>
  </si>
  <si>
    <t>5233242-28085</t>
  </si>
  <si>
    <t>4 mines*1
Coffret Cadeau*1
 6 mines*1
Crayon*1</t>
  </si>
  <si>
    <t>4 mines rechargeables
Coffret Cadeau
🎁 Mines colorées (100% off) - Pack de 6 mines | 36% d'économie
Le Crayon Intemporel - Obsidienne</t>
  </si>
  <si>
    <t>Laetitia Espel</t>
  </si>
  <si>
    <t>6A07078219327</t>
  </si>
  <si>
    <t xml:space="preserve">131 chemin de Bignaou </t>
  </si>
  <si>
    <t>2026-07-09 03:05:42</t>
  </si>
  <si>
    <t>2026-07-09 12:04:55</t>
  </si>
  <si>
    <t>5233242-28086</t>
  </si>
  <si>
    <t>4 mines*1
Crayon*1
Crayon*1
 6 mines*1
Crayon*1</t>
  </si>
  <si>
    <t>4 mines rechargeables
Le Crayon Intemporel - Carmin
Le Crayon Intemporel - Obsidienne
🎁 Mines colorées (100% off) - Pack de 6 mines | 36% d'économie
Le Crayon Intemporel - Jade</t>
  </si>
  <si>
    <t>Maïlys Faria</t>
  </si>
  <si>
    <t>6A07075022326</t>
  </si>
  <si>
    <t xml:space="preserve">13 Rue Tournebonneau </t>
  </si>
  <si>
    <t>2026-07-09 04:03:11</t>
  </si>
  <si>
    <t>2026-07-09 12:04:56</t>
  </si>
  <si>
    <t>5233242-28087</t>
  </si>
  <si>
    <t xml:space="preserve"> 6 mines*1
 Crayon*1
Gravure Personnalisée*1</t>
  </si>
  <si>
    <t>🎁 Mines colorées (100% off) - Pack de 6 mines | 36% d'économie
Le Crayon Intemporel - Aluminium
Gravure Personnalisée</t>
  </si>
  <si>
    <t>trinity douette</t>
  </si>
  <si>
    <t>6A07084613447</t>
  </si>
  <si>
    <t>4 rue de la cascade</t>
  </si>
  <si>
    <t>2026-07-09 04:06:40</t>
  </si>
  <si>
    <t>2026-07-11 12:05:02</t>
  </si>
  <si>
    <t>5233242-28088</t>
  </si>
  <si>
    <t xml:space="preserve"> 6 mines*1
Crayon*2
Crayon*1
Gravure Personnalisée*2
Gravure Personnalisée*1
Coffret Cadeau*2
Coffret Cadeau*1</t>
  </si>
  <si>
    <t>🎁 Mines colorées (100% off) - Pack de 6 mines | 36% d'économie
Le Crayon Intemporel - Carmin
Le Crayon Intemporel - Carmin
Gravure Personnalisée
Gravure Personnalisée
Coffret Cadeau
Coffret Cadeau</t>
  </si>
  <si>
    <t>Francois SACCOMAN</t>
  </si>
  <si>
    <t>6A07081417642</t>
  </si>
  <si>
    <t xml:space="preserve">6, rue de la paix </t>
  </si>
  <si>
    <t>2026-07-09 04:52:59</t>
  </si>
  <si>
    <t>2026-07-11 12:05:04</t>
  </si>
  <si>
    <t>5233242-28089</t>
  </si>
  <si>
    <t>Le Crayon Intemporel - Nuit
Le Crayon Intemporel - Saturne
🎁 Mines colorées (100% off) - Pack de 6 mines | 36% d'économie
Le Crayon Intemporel - Carmin</t>
  </si>
  <si>
    <t>Arthur Poupin Valon</t>
  </si>
  <si>
    <t>6A07075022340</t>
  </si>
  <si>
    <t xml:space="preserve">116 Chemin du Bois Seigneur </t>
  </si>
  <si>
    <t>2026-07-09 05:00:01</t>
  </si>
  <si>
    <t>2026-07-09 12:04:58</t>
  </si>
  <si>
    <t>5233242-28090</t>
  </si>
  <si>
    <t>4 mines*1
Crayon*2
Crayon*1
 6 mines*1</t>
  </si>
  <si>
    <t>4 mines rechargeables
Le Crayon Intemporel - Obsidienne
Le Crayon Intemporel - Obsidienne
🎁 Mines colorées (100% off) - Pack de 6 mines | 36% d'économie</t>
  </si>
  <si>
    <t>Patrick Zumello</t>
  </si>
  <si>
    <t>6A07075022364</t>
  </si>
  <si>
    <t>7.9订单28060-28090需雕刻的 铅笔 已经统计</t>
  </si>
  <si>
    <t xml:space="preserve">7 Rue Pfleck </t>
  </si>
  <si>
    <t>2026-07-09 05:05:37</t>
  </si>
  <si>
    <t>2026-07-09 12:04:59</t>
  </si>
  <si>
    <t>5233242-28091</t>
  </si>
  <si>
    <t>Le Crayon Intemporel - Jade
Le Crayon Intemporel - Nuit
🎁 Mines colorées (100% off) - Pack de 6 mines | 36% d'économie
Le Crayon Intemporel - Carmin</t>
  </si>
  <si>
    <t>Cassandra Clément</t>
  </si>
  <si>
    <t>6A07084851184</t>
  </si>
  <si>
    <t xml:space="preserve">2 Rue du Mont </t>
  </si>
  <si>
    <t>2026-07-09 13:18:16</t>
  </si>
  <si>
    <t>2026-07-10 11:59:58</t>
  </si>
  <si>
    <t>5233242-28092</t>
  </si>
  <si>
    <t>Heidi Gustin</t>
  </si>
  <si>
    <t>6A07078458382</t>
  </si>
  <si>
    <t xml:space="preserve">25 Avenue D Athenes </t>
  </si>
  <si>
    <t>2026-07-09 13:24:17</t>
  </si>
  <si>
    <t>2026-07-12 13:22:23</t>
  </si>
  <si>
    <t>5233242-28093</t>
  </si>
  <si>
    <t>Sandrine Salin collart</t>
  </si>
  <si>
    <t>6A07075258084</t>
  </si>
  <si>
    <t xml:space="preserve">54 Rue de la Treille </t>
  </si>
  <si>
    <t>2026-07-09 13:42:38</t>
  </si>
  <si>
    <t>2026-07-12 13:22:25</t>
  </si>
  <si>
    <t>5233242-28094</t>
  </si>
  <si>
    <t>Le Crayon Intemporel - Carmin
🎁 Mines colorées (100% off) - Pack de 6 mines | 36% d'économie</t>
  </si>
  <si>
    <t>Corinne Aubert</t>
  </si>
  <si>
    <t>6A07081759087</t>
  </si>
  <si>
    <t>9 Rue des Bonnettes Aubert BTP</t>
  </si>
  <si>
    <t>2026-07-09 16:23:33</t>
  </si>
  <si>
    <t>2026-07-10 11:59:59</t>
  </si>
  <si>
    <t>5233242-28095</t>
  </si>
  <si>
    <t>Crayon*1
Crayon*1
 6 mines*1
 Crayon*1</t>
  </si>
  <si>
    <t>Le Crayon Intemporel - Carmin
Le Crayon Intemporel - Obsidienne
🎁 Mines colorées (100% off) - Pack de 6 mines | 36% d'économie
Le Crayon Intemporel - Aluminium</t>
  </si>
  <si>
    <t>Lauren Bonaure</t>
  </si>
  <si>
    <t>6A07078561273</t>
  </si>
  <si>
    <t xml:space="preserve">39 Rue des Palus </t>
  </si>
  <si>
    <t>2026-07-09 16:40:16</t>
  </si>
  <si>
    <t>2026-07-10 12:00:01</t>
  </si>
  <si>
    <t>5233242-28096</t>
  </si>
  <si>
    <t>Noemie Marcot</t>
  </si>
  <si>
    <t>6A07078561297</t>
  </si>
  <si>
    <t xml:space="preserve">67 Rue du Faubourg des Trois Maisons </t>
  </si>
  <si>
    <t>2026-07-09 16:44:53</t>
  </si>
  <si>
    <t>2026-07-10 12:00:02</t>
  </si>
  <si>
    <t>5233242-28097</t>
  </si>
  <si>
    <t>4 mines rechargeables
🎁 Mines colorées (100% off) - Pack de 6 mines | 36% d'économie
Le Crayon Intemporel - Jade</t>
  </si>
  <si>
    <t>Antoine Ancelin</t>
  </si>
  <si>
    <t>6A07085436137</t>
  </si>
  <si>
    <t xml:space="preserve">92 Rue de Paris </t>
  </si>
  <si>
    <t>2026-07-09 17:28:05</t>
  </si>
  <si>
    <t>2026-07-10 12:00:03</t>
  </si>
  <si>
    <t>5233242-28098</t>
  </si>
  <si>
    <t>severine duriez</t>
  </si>
  <si>
    <t>6A07075843051</t>
  </si>
  <si>
    <t xml:space="preserve">185 Rue Pierre Beriot </t>
  </si>
  <si>
    <t>2026-07-09 18:27:18</t>
  </si>
  <si>
    <t>2026-07-10 12:00:05</t>
  </si>
  <si>
    <t>5233242-28099</t>
  </si>
  <si>
    <t xml:space="preserve"> 6 mines*1
4 mines*1
Crayon*1</t>
  </si>
  <si>
    <t>🎁 Mines colorées (100% off) - Pack de 6 mines | 36% d'économie
4 mines rechargeables
Le Crayon Intemporel - Nuit</t>
  </si>
  <si>
    <t>Christelle Lambiel</t>
  </si>
  <si>
    <t>YT2619100701620798</t>
  </si>
  <si>
    <t xml:space="preserve">Rue de Rossettan 8B </t>
  </si>
  <si>
    <t>2026-07-09 18:40:39</t>
  </si>
  <si>
    <t>2026-07-10 12:04:22</t>
  </si>
  <si>
    <t>5233242-28100</t>
  </si>
  <si>
    <t xml:space="preserve"> 6 mines*1
Crayon*2
Gravure Personnalisée*2</t>
  </si>
  <si>
    <t>Anne Le pape lacas</t>
  </si>
  <si>
    <t>6A07085436144</t>
  </si>
  <si>
    <t xml:space="preserve">47 Impasse De La Reine Jeanne </t>
  </si>
  <si>
    <t>2026-07-09 18:42:15</t>
  </si>
  <si>
    <t>2026-07-12 13:22:27</t>
  </si>
  <si>
    <t>5233242-28101</t>
  </si>
  <si>
    <t>Lilou Monnier</t>
  </si>
  <si>
    <t>6A07082241888</t>
  </si>
  <si>
    <t>7 Avenue Des Vignes D Antan Pruille</t>
  </si>
  <si>
    <t>2026-07-09 19:13:21</t>
  </si>
  <si>
    <t>2026-07-10 12:00:06</t>
  </si>
  <si>
    <t>5233242-28102</t>
  </si>
  <si>
    <t>🎁 Mines colorées (100% off) - Pack de 6 mines | 36% d'économie
Le Crayon Intemporel - Carmin
Gravure Personnalisée</t>
  </si>
  <si>
    <t>Marine Henry</t>
  </si>
  <si>
    <t>6A07090992475</t>
  </si>
  <si>
    <t>7.10订单28102没有雕刻标识 但有雕刻内容 一支红色笔内容Mathilde 已经添加雕刻</t>
  </si>
  <si>
    <t>14 bis B rue Nationale Merci de sonner à l'interphone : #3884</t>
  </si>
  <si>
    <t>2026-07-09 19:52:51</t>
  </si>
  <si>
    <t>2026-07-12 12:44:35</t>
  </si>
  <si>
    <t>5233242-28103</t>
  </si>
  <si>
    <t>Crayon*1
 6 mines*1
4 mines*1</t>
  </si>
  <si>
    <t>Le Crayon Intemporel - Carmin
🎁 Mines colorées (100% off) - Pack de 6 mines | 36% d'économie
4 mines rechargeables</t>
  </si>
  <si>
    <t>Line Chauvet</t>
  </si>
  <si>
    <t>STRCA0397327080776</t>
  </si>
  <si>
    <t xml:space="preserve">6 Ch Boisjoli </t>
  </si>
  <si>
    <t>2026-07-09 21:45:52</t>
  </si>
  <si>
    <t>5233242-28104</t>
  </si>
  <si>
    <t>🎁 Mines colorées (100% off) - Pack de 6 mines | 36% d'économie
Le Crayon Intemporel - Nuit
Le Crayon Intemporel - Nuit</t>
  </si>
  <si>
    <t>Valérie Gratio</t>
  </si>
  <si>
    <t>6A07079045772</t>
  </si>
  <si>
    <t xml:space="preserve">46 Rue d'Alsace </t>
  </si>
  <si>
    <t>2026-07-09 22:23:38</t>
  </si>
  <si>
    <t>2026-07-10 12:00:07</t>
  </si>
  <si>
    <t>5233242-28105</t>
  </si>
  <si>
    <t>Simone Della Monica</t>
  </si>
  <si>
    <t>LD797580707BE</t>
  </si>
  <si>
    <t>Avenue Adolphe Lacomblé 66 Boite 4.2</t>
  </si>
  <si>
    <t>2026-07-09 23:12:05</t>
  </si>
  <si>
    <t>5233242-28106</t>
  </si>
  <si>
    <t>Sasha FRANCOIS--DUMONT</t>
  </si>
  <si>
    <t>6A07075843068</t>
  </si>
  <si>
    <t xml:space="preserve">135 Chemin de l’Oeillade </t>
  </si>
  <si>
    <t>2026-07-09 23:14:37</t>
  </si>
  <si>
    <t>2026-07-10 12:00:08</t>
  </si>
  <si>
    <t>5233242-28107</t>
  </si>
  <si>
    <t>Gabriel Perotto</t>
  </si>
  <si>
    <t>6A07079045789</t>
  </si>
  <si>
    <t>4 Rue du Père Joseph Wresinski Résidence universitaire dauversiere, entrée B</t>
  </si>
  <si>
    <t>2026-07-09 23:50:51</t>
  </si>
  <si>
    <t>2026-07-10 12:00:09</t>
  </si>
  <si>
    <t>5233242-28108</t>
  </si>
  <si>
    <t>Eloïse Renault</t>
  </si>
  <si>
    <t>6A07075843075</t>
  </si>
  <si>
    <t xml:space="preserve">Mijargon </t>
  </si>
  <si>
    <t>2026-07-10 00:08:00</t>
  </si>
  <si>
    <t>2026-07-12 13:22:29</t>
  </si>
  <si>
    <t>5233242-28109</t>
  </si>
  <si>
    <t>Nathalie Gastaldo godeau</t>
  </si>
  <si>
    <t>6A07079045802</t>
  </si>
  <si>
    <t xml:space="preserve">12 Avenue De Nancy </t>
  </si>
  <si>
    <t>2026-07-10 00:29:02</t>
  </si>
  <si>
    <t>2026-07-12 13:22:31</t>
  </si>
  <si>
    <t>5233242-28110</t>
  </si>
  <si>
    <t>Antoine FONTAINE</t>
  </si>
  <si>
    <t>6A07085436175</t>
  </si>
  <si>
    <t xml:space="preserve">17 Rue des Écoles </t>
  </si>
  <si>
    <t>2026-07-10 01:10:50</t>
  </si>
  <si>
    <t>2026-07-10 12:00:10</t>
  </si>
  <si>
    <t>5233242-28111</t>
  </si>
  <si>
    <t>4 mines*1</t>
  </si>
  <si>
    <t>4 mines rechargeables</t>
  </si>
  <si>
    <t>Jean-Guy Gilbin</t>
  </si>
  <si>
    <t>6A07082241918</t>
  </si>
  <si>
    <t xml:space="preserve">46 Avenue Peboue </t>
  </si>
  <si>
    <t>2026-07-10 01:22:03</t>
  </si>
  <si>
    <t>2026-07-10 12:00:11</t>
  </si>
  <si>
    <t>5233242-28112</t>
  </si>
  <si>
    <t>4 mines rechargeables
🎁 Mines colorées (100% off) - Pack de 6 mines | 36% d'économie
Le Crayon Intemporel - Carmin
Gravure Personnalisée</t>
  </si>
  <si>
    <t>Romain Lebrun</t>
  </si>
  <si>
    <t>6A07079045819</t>
  </si>
  <si>
    <t xml:space="preserve">52 Rue De Saint Eustache </t>
  </si>
  <si>
    <t>2026-07-10 01:22:20</t>
  </si>
  <si>
    <t>2026-07-12 13:22:33</t>
  </si>
  <si>
    <t>5233242-28113</t>
  </si>
  <si>
    <t>4 mines*1
2 Gomme *1
 6 mines*1
Crayon*1</t>
  </si>
  <si>
    <t>4 mines rechargeables
Gomme capuchon Shield - Noir | Pack de 2 gommes
🎁 Mines colorées (100% off) - Pack de 6 mines | 36% d'économie
Le Crayon Intemporel - Obsidienne</t>
  </si>
  <si>
    <t>Lina Lamand</t>
  </si>
  <si>
    <t>6A07079115888</t>
  </si>
  <si>
    <t xml:space="preserve">14 Rue Du Pic Du Midi </t>
  </si>
  <si>
    <t>2026-07-10 03:31:03</t>
  </si>
  <si>
    <t>2026-07-10 13:08:15</t>
  </si>
  <si>
    <t>5233242-28114</t>
  </si>
  <si>
    <t>Crayon*1
4 mines*1
 6 mines*1
Crayon*1</t>
  </si>
  <si>
    <t>Le Crayon Intemporel - Obsidienne
4 mines rechargeables
🎁 Mines colorées (100% off) - Pack de 6 mines | 36% d'économie
Le Crayon Intemporel - Nuit</t>
  </si>
  <si>
    <t>JIN Youenn</t>
  </si>
  <si>
    <t>6A07082241932</t>
  </si>
  <si>
    <t xml:space="preserve">32 Avenue du Général de Gaulle </t>
  </si>
  <si>
    <t>2026-07-10 04:24:31</t>
  </si>
  <si>
    <t>2026-07-10 13:08:16</t>
  </si>
  <si>
    <t>5233242-28115</t>
  </si>
  <si>
    <t>Crayon*1
Gravure Personnalisée*1
Crayon*1
Gravure Personnalisée*1
2 Gomme *1
 6 mines*1
Crayon*1
Gravure Personnalisée*1</t>
  </si>
  <si>
    <t>Le Crayon Intemporel - Carmin
Gravure Personnalisée
Le Crayon Intemporel - Nuit
Gravure Personnalisée
Gomme capuchon Shield - Noir | Pack de 2 gommes
🎁 Mines colorées (100% off) - Pack de 6 mines | 36% d'économie
Le Crayon Intemporel - Nuit
Gravure Personnalisée</t>
  </si>
  <si>
    <t>Maxime Picaud</t>
  </si>
  <si>
    <t>6A07093387179</t>
  </si>
  <si>
    <t xml:space="preserve">7 Rue du Commerce </t>
  </si>
  <si>
    <t>2026-07-10 06:28:54</t>
  </si>
  <si>
    <t>2026-07-12 13:22:34</t>
  </si>
  <si>
    <t>5233242-28116</t>
  </si>
  <si>
    <t>Nathalie Rousselle</t>
  </si>
  <si>
    <t>6A07085436199</t>
  </si>
  <si>
    <t>7.10订单28091-28116需雕刻的铅笔已经统计</t>
  </si>
  <si>
    <t xml:space="preserve">825 Chemin du Jonquet </t>
  </si>
  <si>
    <t>2026-07-10 07:40:37</t>
  </si>
  <si>
    <t>2026-07-10 12:00:13</t>
  </si>
  <si>
    <t>5233242-28117</t>
  </si>
  <si>
    <t>2 Gomme *1
 6 mines*1
 Crayon*1</t>
  </si>
  <si>
    <t>Gomme capuchon Shield - Noir | Pack de 2 gommes
🎁 Mines colorées (100% off) - Pack de 6 mines | 36% d'économie
Le Crayon Intemporel - Aluminium</t>
  </si>
  <si>
    <t>Sonia Duplessis</t>
  </si>
  <si>
    <t>2019317918528437</t>
  </si>
  <si>
    <t xml:space="preserve">5050 Route 143 </t>
  </si>
  <si>
    <t>2026-07-10 10:50:42</t>
  </si>
  <si>
    <t>2026-07-12 12:46:47</t>
  </si>
  <si>
    <t>5233242-28118</t>
  </si>
  <si>
    <t>Jayson Taché</t>
  </si>
  <si>
    <t>6A07093387193</t>
  </si>
  <si>
    <t>有可能未刻字</t>
  </si>
  <si>
    <t>7.11订单28118有雕刻内容但无雕刻标识 一支蓝色笔 内容J.T.已经添加雕刻</t>
  </si>
  <si>
    <t xml:space="preserve">69 Rue De Chamouilley </t>
  </si>
  <si>
    <t>2026-07-10 14:14:38</t>
  </si>
  <si>
    <t>2026-07-11 12:05:05</t>
  </si>
  <si>
    <t>5233242-28119</t>
  </si>
  <si>
    <t>4 mines*1
2 Gomme *1
 6 mines*1
Crayon*2
Crayon*1</t>
  </si>
  <si>
    <t>4 mines rechargeables
Gomme capuchon Shield - Noir | Pack de 2 gommes
🎁 Mines colorées (100% off) - Pack de 6 mines | 36% d'économie
Le Crayon Intemporel - Nuit
Le Crayon Intemporel - Nuit</t>
  </si>
  <si>
    <t>Martin MORVAN</t>
  </si>
  <si>
    <t>6A07091786257</t>
  </si>
  <si>
    <t xml:space="preserve">207 Chemin de Galinet </t>
  </si>
  <si>
    <t>2026-07-10 16:28:37</t>
  </si>
  <si>
    <t>2026-07-11 12:05:06</t>
  </si>
  <si>
    <t>5233242-28120</t>
  </si>
  <si>
    <t>samuel sylvestre</t>
  </si>
  <si>
    <t>6A07085725866</t>
  </si>
  <si>
    <t>14 Place De La Loge Segre</t>
  </si>
  <si>
    <t>2026-07-10 16:30:54</t>
  </si>
  <si>
    <t>2026-07-14 11:44:24</t>
  </si>
  <si>
    <t>5233242-28121</t>
  </si>
  <si>
    <t>4 mines*1
2 Gomme *1
Crayon*1
Crayon*1
 6 mines*1
Crayon*1</t>
  </si>
  <si>
    <t>4 mines rechargeables
Gomme capuchon Shield - Noir | Pack de 2 gommes
Le Crayon Intemporel - Obsidienne
Le Crayon Intemporel - Saturne
🎁 Mines colorées (100% off) - Pack de 6 mines | 36% d'économie
Le Crayon Intemporel - Jade</t>
  </si>
  <si>
    <t>Arthur Bourre</t>
  </si>
  <si>
    <t>6A07091786264</t>
  </si>
  <si>
    <t xml:space="preserve">55 Rue du Bel Air </t>
  </si>
  <si>
    <t>2026-07-10 16:41:39</t>
  </si>
  <si>
    <t>2026-07-11 12:05:07</t>
  </si>
  <si>
    <t>5233242-28122</t>
  </si>
  <si>
    <t xml:space="preserve"> Crayon*1
Crayon*1
 6 mines*1
Crayon*1</t>
  </si>
  <si>
    <t>Le Crayon Intemporel - Aluminium
Le Crayon Intemporel - Carmin
🎁 Mines colorées (100% off) - Pack de 6 mines | 36% d'économie
Le Crayon Intemporel - Nuit</t>
  </si>
  <si>
    <t>Cendrine Benoit-gonin</t>
  </si>
  <si>
    <t>6A07093374292</t>
  </si>
  <si>
    <t xml:space="preserve">4911 Route de Montfort </t>
  </si>
  <si>
    <t>2026-07-10 17:25:36</t>
  </si>
  <si>
    <t>2026-07-11 12:05:09</t>
  </si>
  <si>
    <t>5233242-28123</t>
  </si>
  <si>
    <t>Baptiste PAUTASSO</t>
  </si>
  <si>
    <t>6A07092568975</t>
  </si>
  <si>
    <t xml:space="preserve">5 Allée Marie Marvingt </t>
  </si>
  <si>
    <t>2026-07-10 18:07:58</t>
  </si>
  <si>
    <t>2026-07-11 12:05:10</t>
  </si>
  <si>
    <t>5233242-28124</t>
  </si>
  <si>
    <t xml:space="preserve"> 6 mines*1
 Crayon*2
 Crayon*1</t>
  </si>
  <si>
    <t>🎁 Mines colorées (100% off) - Pack de 6 mines | 36% d'économie
Le Crayon Intemporel - Aluminium
Le Crayon Intemporel - Aluminium</t>
  </si>
  <si>
    <t>Adrien Cayrac</t>
  </si>
  <si>
    <t>6A07090979025</t>
  </si>
  <si>
    <t xml:space="preserve">21 B Rue Galvani </t>
  </si>
  <si>
    <t>2026-07-10 19:54:49</t>
  </si>
  <si>
    <t>2026-07-11 12:05:11</t>
  </si>
  <si>
    <t>5233242-28125</t>
  </si>
  <si>
    <t>Stéphane Garcia-Berho</t>
  </si>
  <si>
    <t>6A07093374308</t>
  </si>
  <si>
    <t>9 Allée du Vivarais Apt 340</t>
  </si>
  <si>
    <t>2026-07-10 20:18:19</t>
  </si>
  <si>
    <t>2026-07-11 12:05:12</t>
  </si>
  <si>
    <t>5233242-28126</t>
  </si>
  <si>
    <t>2 Gomme *1
 6 mines*1
Crayon*1</t>
  </si>
  <si>
    <t>Gomme capuchon Shield - Noir | Pack de 2 gommes
🎁 Mines colorées (100% off) - Pack de 6 mines | 36% d'économie
Le Crayon Intemporel - Carmin</t>
  </si>
  <si>
    <t>Mickael Gigon</t>
  </si>
  <si>
    <t>YT2619200702752481</t>
  </si>
  <si>
    <t xml:space="preserve">Vers l'Eglise 9 </t>
  </si>
  <si>
    <t>2026-07-10 21:40:30</t>
  </si>
  <si>
    <t>2026-07-11 12:19:26</t>
  </si>
  <si>
    <t>5233242-28127</t>
  </si>
  <si>
    <t>David Peyrouty</t>
  </si>
  <si>
    <t>6A07091773769</t>
  </si>
  <si>
    <t>2 Impasse des Mimosas dpSTUDIO</t>
  </si>
  <si>
    <t>2026-07-10 23:14:26</t>
  </si>
  <si>
    <t>2026-07-11 12:05:13</t>
  </si>
  <si>
    <t>5233242-28128</t>
  </si>
  <si>
    <t>2 Gomme *2
 6 mines*1
Crayon*2
Crayon*1</t>
  </si>
  <si>
    <t>Gomme capuchon Shield - Noir | Pack de 2 gommes
🎁 Mines colorées (100% off) - Pack de 6 mines | 36% d'économie
Le Crayon Intemporel - Obsidienne
Le Crayon Intemporel - Obsidienne</t>
  </si>
  <si>
    <t>Alain MAIRE</t>
  </si>
  <si>
    <t>6A07090991386</t>
  </si>
  <si>
    <t>7-9 rue Gilbert Cesbron AOF - AIR OPS FACTORY</t>
  </si>
  <si>
    <t>2026-07-11 00:48:38</t>
  </si>
  <si>
    <t>2026-07-11 12:05:14</t>
  </si>
  <si>
    <t>5233242-28129</t>
  </si>
  <si>
    <t>2 Gomme *1
4 mines*1
 6 mines*1</t>
  </si>
  <si>
    <t>Gomme capuchon Shield - Noir | Pack de 2 gommes
4 mines rechargeables
🎁 Mines colorées (100% off) - Pack de 6 mines | 36% d'économie</t>
  </si>
  <si>
    <t>Bastian Maibach</t>
  </si>
  <si>
    <t>YT2619200702752648</t>
  </si>
  <si>
    <t xml:space="preserve">Les Maisons Neuves 24 </t>
  </si>
  <si>
    <t>2026-07-11 01:28:00</t>
  </si>
  <si>
    <t>2026-07-11 12:19:27</t>
  </si>
  <si>
    <t>5233242-28130</t>
  </si>
  <si>
    <t>Gwennaelle Tissier</t>
  </si>
  <si>
    <t>LD797522602BE</t>
  </si>
  <si>
    <t xml:space="preserve">Rue Lumsonry 58A </t>
  </si>
  <si>
    <t>2026-07-11 02:43:58</t>
  </si>
  <si>
    <t>5233242-28131</t>
  </si>
  <si>
    <t>2 Gomme *1
 6 mines*1
Crayon*1
Gravure Personnalisée*1</t>
  </si>
  <si>
    <t>Gomme capuchon Shield - Noir | Pack de 2 gommes
🎁 Mines colorées (100% off) - Pack de 6 mines | 36% d'économie
Le Crayon Intemporel - Nuit
Gravure Personnalisée</t>
  </si>
  <si>
    <t>Nicolas Capri</t>
  </si>
  <si>
    <t>6A07091786271</t>
  </si>
  <si>
    <t xml:space="preserve">4 Allee des Dahlias </t>
  </si>
  <si>
    <t>2026-07-11 04:02:02</t>
  </si>
  <si>
    <t>2026-07-14 11:44:26</t>
  </si>
  <si>
    <t>5233242-28132</t>
  </si>
  <si>
    <t xml:space="preserve"> Crayon*2
 6 mines*1
Crayon*1</t>
  </si>
  <si>
    <t>Le Crayon Intemporel - Aluminium
🎁 Mines colorées (100% off) - Pack de 6 mines | 36% d'économie
Le Crayon Intemporel - Obsidienne</t>
  </si>
  <si>
    <t>Tristan STALLE</t>
  </si>
  <si>
    <t>6A07090979032</t>
  </si>
  <si>
    <t>7.11订单28117-28132需雕刻的铅笔已经统计</t>
  </si>
  <si>
    <t xml:space="preserve">2 Lotissement les Weigelias et la Bournaille </t>
  </si>
  <si>
    <t>2026-07-11 04:10:24</t>
  </si>
  <si>
    <t>2026-07-12 12:48:19</t>
  </si>
  <si>
    <t>5233242-28133</t>
  </si>
  <si>
    <t>4 mines*1
12 mines*1
Crayon*1
Coffret Cadeau*1
Crayon*1
Coffret Cadeau*1
 6 mines*1
Crayon*1
Coffret Cadeau*1</t>
  </si>
  <si>
    <t>4 mines rechargeables
Mines colorées - Pack de 12 mines | 47% d'économie
Le Crayon Intemporel - Saturne
Coffret Cadeau
Le Crayon Intemporel - Carmin
Coffret Cadeau
🎁 Mines colorées (100% off) - Pack de 6 mines | 36% d'économie
Le Crayon Intemporel - Obsidienne
Coffret Cadeau</t>
  </si>
  <si>
    <t>Lionel Hill</t>
  </si>
  <si>
    <t>6A07091074033</t>
  </si>
  <si>
    <t xml:space="preserve">1 Rue des Dames </t>
  </si>
  <si>
    <t>2026-07-11 14:04:46</t>
  </si>
  <si>
    <t>2026-07-12 12:37:56</t>
  </si>
  <si>
    <t>5233242-28134</t>
  </si>
  <si>
    <t>Coffret Cadeau*1
Crayon*2</t>
  </si>
  <si>
    <t>Coffret Cadeau
Le Crayon Intemporel - Carmin</t>
  </si>
  <si>
    <t>Kevin franck</t>
  </si>
  <si>
    <t>LD797580375BE</t>
  </si>
  <si>
    <t xml:space="preserve">Rue frères orban 45 </t>
  </si>
  <si>
    <t>2026-07-11 16:08:39</t>
  </si>
  <si>
    <t>5233242-28135</t>
  </si>
  <si>
    <t>Jean Louis Cheng</t>
  </si>
  <si>
    <t>6A07091895690</t>
  </si>
  <si>
    <t>2 Avenue Jacques cartier D302</t>
  </si>
  <si>
    <t>2026-07-11 16:49:35</t>
  </si>
  <si>
    <t>2026-07-12 12:37:57</t>
  </si>
  <si>
    <t>5233242-28136</t>
  </si>
  <si>
    <t xml:space="preserve"> 6 mines*1
2 Gomme *1</t>
  </si>
  <si>
    <t>🎁 Mines colorées (100% off) - Pack de 6 mines | 36% d'économie
Gomme capuchon Shield - Noir | Pack de 2 gommes</t>
  </si>
  <si>
    <t>Ludovic Haba</t>
  </si>
  <si>
    <t>6A07093753349</t>
  </si>
  <si>
    <t xml:space="preserve">20 Cité des Acacias </t>
  </si>
  <si>
    <t>2026-07-12 00:19:33</t>
  </si>
  <si>
    <t>2026-07-12 12:37:58</t>
  </si>
  <si>
    <t>5233242-28137</t>
  </si>
  <si>
    <t>Crayon*1
Gravure Personnalisée*1
 6 mines*1
4 mines*1
2 Gomme *1</t>
  </si>
  <si>
    <t>Le Crayon Intemporel - Obsidienne
Gravure Personnalisée
🎁 Mines colorées (100% off) - Pack de 6 mines | 36% d'économie
4 mines rechargeables
Gomme capuchon Shield - Noir | Pack de 2 gommes</t>
  </si>
  <si>
    <t>juliette vissokalis</t>
  </si>
  <si>
    <t>6A07092948821</t>
  </si>
  <si>
    <t xml:space="preserve">11 rue guichard </t>
  </si>
  <si>
    <t>2026-07-12 00:22:20</t>
  </si>
  <si>
    <t>2026-07-14 11:44:27</t>
  </si>
  <si>
    <t>5233242-28138</t>
  </si>
  <si>
    <t>4 mines*1
 6 mines*1
2 Gomme *1</t>
  </si>
  <si>
    <t>4 mines rechargeables
🎁 Mines colorées (100% off) - Pack de 6 mines | 36% d'économie
Gomme capuchon Shield - Noir | Pack de 2 gommes</t>
  </si>
  <si>
    <t>Serge MASSOL</t>
  </si>
  <si>
    <t>6A07091354517</t>
  </si>
  <si>
    <t xml:space="preserve">37 RUE DES CADENEDES </t>
  </si>
  <si>
    <t>2026-07-12 00:27:01</t>
  </si>
  <si>
    <t>2026-07-12 12:37:59</t>
  </si>
  <si>
    <t>5233242-28139</t>
  </si>
  <si>
    <t>4 mines*1
 6 mines*1
2 Gomme *2</t>
  </si>
  <si>
    <t>Luc DUVAL</t>
  </si>
  <si>
    <t>6A07091354524</t>
  </si>
  <si>
    <t xml:space="preserve">7 Rue de la Sapee </t>
  </si>
  <si>
    <t>2026-07-12 00:27:13</t>
  </si>
  <si>
    <t>2026-07-12 12:38:00</t>
  </si>
  <si>
    <t>5233242-28140</t>
  </si>
  <si>
    <t>2 Gomme *2</t>
  </si>
  <si>
    <t>Gomme capuchon Shield - Noir | Pack de 2 gommes</t>
  </si>
  <si>
    <t>Olivier Carrard</t>
  </si>
  <si>
    <t>YT2619300701583950</t>
  </si>
  <si>
    <t xml:space="preserve">rue Caroline 40 </t>
  </si>
  <si>
    <t>2026-07-12 00:29:59</t>
  </si>
  <si>
    <t>2026-07-12 12:38:01</t>
  </si>
  <si>
    <t>5233242-28141</t>
  </si>
  <si>
    <t>6 mines*1
4 mine*1
Crayon*1
Crayon*1</t>
  </si>
  <si>
    <t>Mines colorées - Pack de 6 mines | 36% d'économie
Lot de 4 mines rechargeables
Le Crayon Intemporel - Jade
Le Crayon Intemporel - Carmin</t>
  </si>
  <si>
    <t>Luc Godart</t>
  </si>
  <si>
    <t>LD797580287BE</t>
  </si>
  <si>
    <t xml:space="preserve">Rue de Serradifalco 4 </t>
  </si>
  <si>
    <t>2026-07-12 00:35:10</t>
  </si>
  <si>
    <t>2026-07-12 13:22:35</t>
  </si>
  <si>
    <t>5233242-28142</t>
  </si>
  <si>
    <t>6 mines*1
2 Gomme *3
Crayon*1
Crayon*1
 6 mines*1
 Crayon*1</t>
  </si>
  <si>
    <t>Mines colorées - Pack de 6 mines | 36% d'économie
Gomme capuchon Shield - Noir | Pack de 2 gommes
Le Crayon Intemporel - Jade
Le Crayon Intemporel - Carmin
🎁 Mines colorées (100% off) - Pack de 6 mines | 36% d'économie
Le Crayon Intemporel - Aluminium</t>
  </si>
  <si>
    <t>Nicole Delage</t>
  </si>
  <si>
    <t>6A07091354531</t>
  </si>
  <si>
    <t xml:space="preserve">1 rue des Bughes </t>
  </si>
  <si>
    <t>2026-07-12 00:40:28</t>
  </si>
  <si>
    <t>2026-07-12 13:22:36</t>
  </si>
  <si>
    <t>5233242-28143</t>
  </si>
  <si>
    <t>Patrice LETTERMANN</t>
  </si>
  <si>
    <t>6A07092154529</t>
  </si>
  <si>
    <t xml:space="preserve">13 Rue de Geispitzen </t>
  </si>
  <si>
    <t>2026-07-12 00:40:36</t>
  </si>
  <si>
    <t>2026-07-12 12:38:02</t>
  </si>
  <si>
    <t>5233242-28144</t>
  </si>
  <si>
    <t>2 Gomme *4</t>
  </si>
  <si>
    <t>Monika Spannaus</t>
  </si>
  <si>
    <t>YT2619300701385778</t>
  </si>
  <si>
    <t xml:space="preserve">Pérolles d'en haut 7 </t>
  </si>
  <si>
    <t>2026-07-12 00:43:30</t>
  </si>
  <si>
    <t>2026-07-12 12:38:03</t>
  </si>
  <si>
    <t>5233242-28145</t>
  </si>
  <si>
    <t>Yvan Charles Béard</t>
  </si>
  <si>
    <t>6A07093753356</t>
  </si>
  <si>
    <t xml:space="preserve">2 impasse de la Motte-Picquet </t>
  </si>
  <si>
    <t>2026-07-12 00:50:39</t>
  </si>
  <si>
    <t>2026-07-12 12:38:04</t>
  </si>
  <si>
    <t>5233242-28146</t>
  </si>
  <si>
    <t xml:space="preserve"> 6 mines*1
2 Gomme *3</t>
  </si>
  <si>
    <t>Laetitia BAU</t>
  </si>
  <si>
    <t>6A07091354562</t>
  </si>
  <si>
    <t xml:space="preserve">4 Allée des Tonneliers </t>
  </si>
  <si>
    <t>2026-07-12 00:55:03</t>
  </si>
  <si>
    <t>2026-07-12 12:38:05</t>
  </si>
  <si>
    <t>5233242-28147</t>
  </si>
  <si>
    <t>Anne-Sophie Gaultier</t>
  </si>
  <si>
    <t>6A07092154536</t>
  </si>
  <si>
    <t>4 rue Michel Behic Rdc Gauche</t>
  </si>
  <si>
    <t>2026-07-12 01:00:21</t>
  </si>
  <si>
    <t>2026-07-12 12:38:06</t>
  </si>
  <si>
    <t>5233242-28148</t>
  </si>
  <si>
    <t>Crayon*2
 6 mines*1
2 Gomme *1</t>
  </si>
  <si>
    <t>Le Crayon Intemporel - Saturne
🎁 Mines colorées (100% off) - Pack de 6 mines | 36% d'économie
Gomme capuchon Shield - Noir | Pack de 2 gommes</t>
  </si>
  <si>
    <t>Elisabeth L’helgoualc’h</t>
  </si>
  <si>
    <t>6A07092948845</t>
  </si>
  <si>
    <t xml:space="preserve">21 Rue Guillemette le Barbier </t>
  </si>
  <si>
    <t>2026-07-12 01:08:18</t>
  </si>
  <si>
    <t>2026-07-12 12:38:08</t>
  </si>
  <si>
    <t>5233242-28149</t>
  </si>
  <si>
    <t xml:space="preserve"> Crayon*1
 6 mines*1
2 Gomme *1</t>
  </si>
  <si>
    <t>Le Crayon Intemporel - Aluminium
🎁 Mines colorées (100% off) - Pack de 6 mines | 36% d'économie
Gomme capuchon Shield - Noir | Pack de 2 gommes</t>
  </si>
  <si>
    <t>Thomas Dubreuil</t>
  </si>
  <si>
    <t>6A07092948852</t>
  </si>
  <si>
    <t xml:space="preserve">3A rue du stade </t>
  </si>
  <si>
    <t>2026-07-12 01:10:04</t>
  </si>
  <si>
    <t>2026-07-12 13:22:37</t>
  </si>
  <si>
    <t>5233242-28150</t>
  </si>
  <si>
    <t>2 Gomme *1</t>
  </si>
  <si>
    <t>Ghislaine Hide</t>
  </si>
  <si>
    <t>6A07091354579</t>
  </si>
  <si>
    <t xml:space="preserve">7 Rue Le Nôtre </t>
  </si>
  <si>
    <t>2026-07-12 01:16:32</t>
  </si>
  <si>
    <t>2026-07-12 12:38:09</t>
  </si>
  <si>
    <t>5233242-28151</t>
  </si>
  <si>
    <t>12 mines*1
 6 mines*1
2 Gomme *3</t>
  </si>
  <si>
    <t>Mines colorées - Pack de 12 mines | 47% d'économie
🎁 Mines colorées (100% off) - Pack de 6 mines | 36% d'économie
Gomme capuchon Shield - Noir | Pack de 2 gommes</t>
  </si>
  <si>
    <t>Lionel MACHADO</t>
  </si>
  <si>
    <t>6A07092948876</t>
  </si>
  <si>
    <t xml:space="preserve">1 rue du Gré </t>
  </si>
  <si>
    <t>2026-07-12 01:24:12</t>
  </si>
  <si>
    <t>2026-07-12 12:38:10</t>
  </si>
  <si>
    <t>5233242-28152</t>
  </si>
  <si>
    <t>Muriel Rinck</t>
  </si>
  <si>
    <t>6A07092154574</t>
  </si>
  <si>
    <t xml:space="preserve">5 Rue Marcel Hacquard </t>
  </si>
  <si>
    <t>2026-07-12 01:26:23</t>
  </si>
  <si>
    <t>2026-07-12 12:38:11</t>
  </si>
  <si>
    <t>5233242-28153</t>
  </si>
  <si>
    <t xml:space="preserve"> Crayon*1
Crayon*1
Crayon*1
12 mines*1
 6 mines*1
2 Gomme *3</t>
  </si>
  <si>
    <t>Le Crayon Intemporel - Aluminium
Le Crayon Intemporel - Jade
Le Crayon Intemporel - Carmin
Mines colorées - Pack de 12 mines | 47% d'économie
🎁 Mines colorées (100% off) - Pack de 6 mines | 36% d'économie
Gomme capuchon Shield - Noir | Pack de 2 gommes</t>
  </si>
  <si>
    <t>Alan Giraud</t>
  </si>
  <si>
    <t>6A07091354609</t>
  </si>
  <si>
    <t>60 rue de l'égalité Batiment E-4</t>
  </si>
  <si>
    <t>2026-07-12 01:28:48</t>
  </si>
  <si>
    <t>2026-07-12 13:22:38</t>
  </si>
  <si>
    <t>5233242-28154</t>
  </si>
  <si>
    <t>Le Crayon Intemporel - Obsidienne
Gravure Personnalisée
4 mines rechargeables
🎁 Mines colorées (100% off) - Pack de 6 mines | 36% d'économie</t>
  </si>
  <si>
    <t>Aurore Crespel</t>
  </si>
  <si>
    <t>6A07092948883</t>
  </si>
  <si>
    <t xml:space="preserve">11A rue de l'église </t>
  </si>
  <si>
    <t>2026-07-12 01:35:41</t>
  </si>
  <si>
    <t>2026-07-14 11:44:29</t>
  </si>
  <si>
    <t>5233242-28155</t>
  </si>
  <si>
    <t xml:space="preserve"> 6 mines*1
2 Gomme *2</t>
  </si>
  <si>
    <t>Solyne Jorry</t>
  </si>
  <si>
    <t>6A07091354616</t>
  </si>
  <si>
    <t xml:space="preserve">74 Rue Albert </t>
  </si>
  <si>
    <t>2026-07-12 01:42:44</t>
  </si>
  <si>
    <t>2026-07-12 12:38:12</t>
  </si>
  <si>
    <t>5233242-28156</t>
  </si>
  <si>
    <t xml:space="preserve"> 6 mines*1
2 Gomme *5</t>
  </si>
  <si>
    <t>Véronique Delahodde</t>
  </si>
  <si>
    <t>6A07093753363</t>
  </si>
  <si>
    <t xml:space="preserve">109 rue d'Epinay </t>
  </si>
  <si>
    <t>2026-07-12 01:56:32</t>
  </si>
  <si>
    <t>2026-07-12 12:38:13</t>
  </si>
  <si>
    <t>5233242-28157</t>
  </si>
  <si>
    <t>Victoria Goethals</t>
  </si>
  <si>
    <t>LD797580667BE</t>
  </si>
  <si>
    <t xml:space="preserve">Jan Van Ruusbroeclaan 13 </t>
  </si>
  <si>
    <t>2026-07-12 02:04:30</t>
  </si>
  <si>
    <t>5233242-28158</t>
  </si>
  <si>
    <t>Mines colorée*1
4 mines*1
 6 mines*1
2 Gomme *1</t>
  </si>
  <si>
    <t>Mines colorées - Bleu foncé
4 mines rechargeables
🎁 Mines colorées (100% off) - Pack de 6 mines | 36% d'économie
Gomme capuchon Shield - Noir | Pack de 2 gommes</t>
  </si>
  <si>
    <t>Ludivine Erkol</t>
  </si>
  <si>
    <t>6A07091354623</t>
  </si>
  <si>
    <t xml:space="preserve">2 RUE GRAEFENTHAL </t>
  </si>
  <si>
    <t>2026-07-12 02:08:41</t>
  </si>
  <si>
    <t>2026-07-12 12:38:14</t>
  </si>
  <si>
    <t>5233242-28159</t>
  </si>
  <si>
    <t>Yannick Boehmann</t>
  </si>
  <si>
    <t>6A07091354630</t>
  </si>
  <si>
    <t xml:space="preserve">1  rue du stade </t>
  </si>
  <si>
    <t>2026-07-12 02:09:34</t>
  </si>
  <si>
    <t>2026-07-12 12:38:15</t>
  </si>
  <si>
    <t>5233242-28160</t>
  </si>
  <si>
    <t>Adrien Boukobza</t>
  </si>
  <si>
    <t>6A07091354647</t>
  </si>
  <si>
    <t xml:space="preserve">6 Allee Auguste Renoir </t>
  </si>
  <si>
    <t>2026-07-12 02:18:59</t>
  </si>
  <si>
    <t>2026-07-12 12:38:16</t>
  </si>
  <si>
    <t>5233242-28161</t>
  </si>
  <si>
    <t>DAVID DEWAELE</t>
  </si>
  <si>
    <t>6A07091354654</t>
  </si>
  <si>
    <t xml:space="preserve">10 Rue de l'Écaillon </t>
  </si>
  <si>
    <t>2026-07-12 02:40:20</t>
  </si>
  <si>
    <t>2026-07-12 12:38:17</t>
  </si>
  <si>
    <t>5233242-28162</t>
  </si>
  <si>
    <t>Alix de La Tour du Pin</t>
  </si>
  <si>
    <t>6A07091354661</t>
  </si>
  <si>
    <t>45 Rue du Maréchal Foch Alix de La Tour du Pin</t>
  </si>
  <si>
    <t>2026-07-12 02:42:26</t>
  </si>
  <si>
    <t>2026-07-12 12:38:19</t>
  </si>
  <si>
    <t>5233242-28163</t>
  </si>
  <si>
    <t>6 mines*1
2 Gomme *1
Crayon*1
Crayon*1
Crayon*1
Gravure Personnalisée*1
 6 mines*1
Coffret Cadeau*1</t>
  </si>
  <si>
    <t>Mines colorées - Pack de 6 mines | 36% d'économie
Gomme capuchon Shield - Noir | Pack de 2 gommes
Le Crayon Intemporel - Carmin
Le Crayon Intemporel - Nuit
Le Crayon Intemporel - Nuit
Gravure Personnalisée
🎁 Mines colorées (100% off) - Pack de 6 mines | 36% d'économie
Coffret Cadeau</t>
  </si>
  <si>
    <t>Christopher Annezo</t>
  </si>
  <si>
    <t>6A07091354678</t>
  </si>
  <si>
    <t xml:space="preserve">6bis rue la fayette </t>
  </si>
  <si>
    <t>2026-07-12 02:46:24</t>
  </si>
  <si>
    <t>2026-07-14 11:44:31</t>
  </si>
  <si>
    <t>5233242-28164</t>
  </si>
  <si>
    <t>Crayon*1
Crayon*1
Crayon*1
 6 mines*1
2 Gomme *1</t>
  </si>
  <si>
    <t>Le Crayon Intemporel - Saturne
Le Crayon Intemporel - Obsidienne
Le Crayon Intemporel - Jade
🎁 Mines colorées (100% off) - Pack de 6 mines | 36% d'économie
Gomme capuchon Shield - Noir | Pack de 2 gommes</t>
  </si>
  <si>
    <t>Alexandre Couvreux</t>
  </si>
  <si>
    <t>6A07092948906</t>
  </si>
  <si>
    <t xml:space="preserve">20 Allée Chidler </t>
  </si>
  <si>
    <t>2026-07-12 02:58:09</t>
  </si>
  <si>
    <t>2026-07-12 13:22:39</t>
  </si>
  <si>
    <t>5233242-28165</t>
  </si>
  <si>
    <t>6A07092154611</t>
  </si>
  <si>
    <t>2026-07-12 03:01:09</t>
  </si>
  <si>
    <t>2026-07-12 12:38:20</t>
  </si>
  <si>
    <t>5233242-28166</t>
  </si>
  <si>
    <t>Mines colorée*1
 6 mines*1
2 Gomme *3</t>
  </si>
  <si>
    <t>Mines colorées - Orange
🎁 Mines colorées (100% off) - Pack de 6 mines | 36% d'économie
Gomme capuchon Shield - Noir | Pack de 2 gommes</t>
  </si>
  <si>
    <t>Gregory DESANLIS</t>
  </si>
  <si>
    <t>6A07092154628</t>
  </si>
  <si>
    <t xml:space="preserve">8, Rue de la Source </t>
  </si>
  <si>
    <t>2026-07-12 03:03:39</t>
  </si>
  <si>
    <t>2026-07-12 12:38:21</t>
  </si>
  <si>
    <t>5233242-28167</t>
  </si>
  <si>
    <t>Guylaine Simard</t>
  </si>
  <si>
    <t>2019317957503433</t>
  </si>
  <si>
    <t>76 Routhier</t>
  </si>
  <si>
    <t>2026-07-12 03:45:24</t>
  </si>
  <si>
    <t>2026-07-12 12:38:22</t>
  </si>
  <si>
    <t>5233242-28168</t>
  </si>
  <si>
    <t>12 mines*1
4 mines*1
 6 mines*1
2 Gomme *2</t>
  </si>
  <si>
    <t>Mines colorées - Pack de 12 mines | 47% d'économie
4 mines rechargeables
🎁 Mines colorées (100% off) - Pack de 6 mines | 36% d'économie
Gomme capuchon Shield - Noir | Pack de 2 gommes</t>
  </si>
  <si>
    <t>Raphael Duchesne</t>
  </si>
  <si>
    <t>2019317957633437</t>
  </si>
  <si>
    <t xml:space="preserve">60 Du Monarque </t>
  </si>
  <si>
    <t>2026-07-12 04:11:27</t>
  </si>
  <si>
    <t>2026-07-12 12:38:23</t>
  </si>
  <si>
    <t>5233242-28169</t>
  </si>
  <si>
    <t>2 Gomme *2
 6 mines*1
12 mines*1</t>
  </si>
  <si>
    <t>Gomme capuchon Shield - Noir | Pack de 2 gommes
🎁 Mines colorées (100% off) - Pack de 6 mines | 36% d'économie
Mines colorées - Pack de 12 mines | 47% d'économie</t>
  </si>
  <si>
    <t>Delphine Desmonts</t>
  </si>
  <si>
    <t>6A07092948920</t>
  </si>
  <si>
    <t xml:space="preserve">3 Rue de la Gare </t>
  </si>
  <si>
    <t>2026-07-12 04:36:21</t>
  </si>
  <si>
    <t>2026-07-12 12:38:24</t>
  </si>
  <si>
    <t>5233242-28170</t>
  </si>
  <si>
    <t>12 mines*1
 6 mines*1
2 Gomme *2</t>
  </si>
  <si>
    <t>Joris Rousseau</t>
  </si>
  <si>
    <t>6A07092154635</t>
  </si>
  <si>
    <t xml:space="preserve">3 La Théodière </t>
  </si>
  <si>
    <t>2026-07-12 04:53:50</t>
  </si>
  <si>
    <t>2026-07-12 12:38:25</t>
  </si>
  <si>
    <t>5233242-28171</t>
  </si>
  <si>
    <t>2 Gomme *1
 Crayon*1
Crayon*1
 6 mines*1
Crayon*1</t>
  </si>
  <si>
    <t>Gomme capuchon Shield - Noir | Pack de 2 gommes
Le Crayon Intemporel - Aluminium
Le Crayon Intemporel - Obsidienne
🎁 Mines colorées (100% off) - Pack de 6 mines | 36% d'économie
Le Crayon Intemporel - Carmin</t>
  </si>
  <si>
    <t>YANNICK SALLES</t>
  </si>
  <si>
    <t>6A07091354708</t>
  </si>
  <si>
    <t>17 AVENUE DU LAC 11EME ETAGE APPT 41</t>
  </si>
  <si>
    <t>2026-07-12 04:55:12</t>
  </si>
  <si>
    <t>2026-07-12 13:22:40</t>
  </si>
  <si>
    <t>5233242-28172</t>
  </si>
  <si>
    <t>4 mines*1
2 Gomme *1
 6 mines*1
 Crayon*1</t>
  </si>
  <si>
    <t>4 mines rechargeables
Gomme capuchon Shield - Noir | Pack de 2 gommes
🎁 Mines colorées (100% off) - Pack de 6 mines | 36% d'économie
Le Crayon Intemporel - Aluminium</t>
  </si>
  <si>
    <t>Julien Lacabanne</t>
  </si>
  <si>
    <t>6A07091354692</t>
  </si>
  <si>
    <t xml:space="preserve">4 Rue de Pacé </t>
  </si>
  <si>
    <t>2026-07-12 05:04:19</t>
  </si>
  <si>
    <t>2026-07-12 13:22:41</t>
  </si>
  <si>
    <t>5233242-28173</t>
  </si>
  <si>
    <t>2 Gomme *4
 6 mines*1
4 mines*1
Crayon*1
Crayon*1
Crayon*1
6 mines*1</t>
  </si>
  <si>
    <t>Gomme capuchon Shield - Noir | Pack de 2 gommes
🎁 Mines colorées (100% off) - Pack de 6 mines | 36% d'économie
4 mines rechargeables
Le Crayon Intemporel - Obsidienne
Le Crayon Intemporel - Nuit
Le Crayon Intemporel - Carmin
Mines colorées - Pack de 6 mines | 36% d'économie</t>
  </si>
  <si>
    <t>Joannie Wanono</t>
  </si>
  <si>
    <t>6A07093753417</t>
  </si>
  <si>
    <t xml:space="preserve">4 Rue de la Quintaine </t>
  </si>
  <si>
    <t>2026-07-12 05:07:51</t>
  </si>
  <si>
    <t>2026-07-12 12:38:26</t>
  </si>
  <si>
    <t>5233242-28174</t>
  </si>
  <si>
    <t>Crayon*1
Gravure Personnalisée*1
2 Gomme *1
4 mines*1
 6 mines*1</t>
  </si>
  <si>
    <t>Le Crayon Intemporel - Carmin
Gravure Personnalisée
Gomme capuchon Shield - Noir | Pack de 2 gommes
4 mines rechargeables
🎁 Mines colorées (100% off) - Pack de 6 mines | 36% d'économie</t>
  </si>
  <si>
    <t>Gwenaëlle Garcia</t>
  </si>
  <si>
    <t>6A07091354715</t>
  </si>
  <si>
    <t xml:space="preserve">7 Route de Lignières </t>
  </si>
  <si>
    <t>2026-07-12 05:09:09</t>
  </si>
  <si>
    <t>2026-07-14 11:44:33</t>
  </si>
  <si>
    <t>5233242-28175</t>
  </si>
  <si>
    <t>Fred Milhes</t>
  </si>
  <si>
    <t>6A07092154659</t>
  </si>
  <si>
    <t xml:space="preserve">50, Rue Jean De Bejarry </t>
  </si>
  <si>
    <t>2026-07-12 05:24:09</t>
  </si>
  <si>
    <t>2026-07-12 12:38:27</t>
  </si>
  <si>
    <t>5233242-28176</t>
  </si>
  <si>
    <t>Gabriel Aharfi</t>
  </si>
  <si>
    <t>YT2619300701385802</t>
  </si>
  <si>
    <t xml:space="preserve">Avenue de l'Amandolier 30 </t>
  </si>
  <si>
    <t>2026-07-12 05:42:52</t>
  </si>
  <si>
    <t>2026-07-12 12:38:28</t>
  </si>
  <si>
    <t>5233242-28177</t>
  </si>
  <si>
    <t>julien minor</t>
  </si>
  <si>
    <t>6A07093753424</t>
  </si>
  <si>
    <t xml:space="preserve">4 Route de la Pérelle </t>
  </si>
  <si>
    <t>2026-07-12 06:04:29</t>
  </si>
  <si>
    <t>2026-07-12 12:38:29</t>
  </si>
  <si>
    <t>5233242-28178</t>
  </si>
  <si>
    <t>Laura MECHIN</t>
  </si>
  <si>
    <t>6A07092948937</t>
  </si>
  <si>
    <t xml:space="preserve">10 Rue du 44e Regiment d’Infanterie </t>
  </si>
  <si>
    <t>2026-07-12 06:29:25</t>
  </si>
  <si>
    <t>2026-07-12 12:38:30</t>
  </si>
  <si>
    <t>5233242-28179</t>
  </si>
  <si>
    <t>Dominique DAVID</t>
  </si>
  <si>
    <t>6A07092154673</t>
  </si>
  <si>
    <t>7.12订单28133-28179需雕刻的铅笔已经统计</t>
  </si>
  <si>
    <t xml:space="preserve">16 rue caïs de Pierlas </t>
  </si>
  <si>
    <t>2026-07-12 06:35:49</t>
  </si>
  <si>
    <t>2026-07-12 12:38:31</t>
  </si>
  <si>
    <t>5233242-28180</t>
  </si>
  <si>
    <t>Maxime GERUM</t>
  </si>
  <si>
    <t>6A07093016727</t>
  </si>
  <si>
    <t xml:space="preserve">14 Rue de Lorraine </t>
  </si>
  <si>
    <t>2026-07-12 11:22:24</t>
  </si>
  <si>
    <t>2026-07-13 12:23:00</t>
  </si>
  <si>
    <t>5233242-28181</t>
  </si>
  <si>
    <t>Crayon*1
Gravure Personnalisée*1
 6 mines*1
2 Gomme *2</t>
  </si>
  <si>
    <t>Le Crayon Intemporel - Carmin
Gravure Personnalisée
🎁 Mines colorées (100% off) - Pack de 6 mines | 36% d'économie
Gomme capuchon Shield - Noir | Pack de 2 gommes</t>
  </si>
  <si>
    <t>Catherine Bourdieu</t>
  </si>
  <si>
    <t>6A07093016734</t>
  </si>
  <si>
    <t xml:space="preserve">5 Rue de Provence </t>
  </si>
  <si>
    <t>2026-07-12 13:19:10</t>
  </si>
  <si>
    <t>2026-07-15 13:51:34</t>
  </si>
  <si>
    <t>5233242-28182</t>
  </si>
  <si>
    <t>franck loubat</t>
  </si>
  <si>
    <t>6A07093016741</t>
  </si>
  <si>
    <t xml:space="preserve">1 rue du verger </t>
  </si>
  <si>
    <t>2026-07-12 13:36:09</t>
  </si>
  <si>
    <t>2026-07-13 12:23:01</t>
  </si>
  <si>
    <t>5233242-28183</t>
  </si>
  <si>
    <t>Raphaël Personnat</t>
  </si>
  <si>
    <t>6A07092221436</t>
  </si>
  <si>
    <t xml:space="preserve">1 Rue Pierre Marie le Boursicaud </t>
  </si>
  <si>
    <t>2026-07-12 13:48:42</t>
  </si>
  <si>
    <t>2026-07-13 12:23:02</t>
  </si>
  <si>
    <t>5233242-28184</t>
  </si>
  <si>
    <t>12 mines*1
 6 mines*1
2 Gomme *1</t>
  </si>
  <si>
    <t>Giraud Christine</t>
  </si>
  <si>
    <t>6A07093016765</t>
  </si>
  <si>
    <t>Rue Édouard Lalo Bâtiment C Appartement 119</t>
  </si>
  <si>
    <t>2026-07-12 13:49:53</t>
  </si>
  <si>
    <t>2026-07-13 12:23:03</t>
  </si>
  <si>
    <t>5233242-28185</t>
  </si>
  <si>
    <t>Crayon*2
Crayon*1
4 mines*1
 6 mines*1</t>
  </si>
  <si>
    <t>Le Crayon Intemporel - Obsidienne
Le Crayon Intemporel - Obsidienne
4 mines rechargeables
🎁 Mines colorées (100% off) - Pack de 6 mines | 36% d'économie</t>
  </si>
  <si>
    <t>Christine Lamourette</t>
  </si>
  <si>
    <t>6A07092221450</t>
  </si>
  <si>
    <t xml:space="preserve">44 Domaine du Riez </t>
  </si>
  <si>
    <t>2026-07-12 14:39:22</t>
  </si>
  <si>
    <t>2026-07-13 12:23:05</t>
  </si>
  <si>
    <t>5233242-28186</t>
  </si>
  <si>
    <t>claude schoeni</t>
  </si>
  <si>
    <t>6A07093016796</t>
  </si>
  <si>
    <t xml:space="preserve">321 LIEU-DIT LE PETIT CREUSOT </t>
  </si>
  <si>
    <t>2026-07-12 15:03:14</t>
  </si>
  <si>
    <t>2026-07-13 12:23:06</t>
  </si>
  <si>
    <t>5233242-28187</t>
  </si>
  <si>
    <t>Thierry Petrein</t>
  </si>
  <si>
    <t>6A07091421684</t>
  </si>
  <si>
    <t xml:space="preserve">20 rue de la barillerie </t>
  </si>
  <si>
    <t>2026-07-12 15:11:47</t>
  </si>
  <si>
    <t>2026-07-13 12:23:07</t>
  </si>
  <si>
    <t>5233242-28188</t>
  </si>
  <si>
    <t>4 mines*1
 6 mines*1
2 Gomme *3</t>
  </si>
  <si>
    <t>Pierre DERYCKÈRE</t>
  </si>
  <si>
    <t>6A07093821765</t>
  </si>
  <si>
    <t xml:space="preserve">23, Rue du Clos du Parc </t>
  </si>
  <si>
    <t>2026-07-12 15:23:18</t>
  </si>
  <si>
    <t>2026-07-13 12:23:08</t>
  </si>
  <si>
    <t>5233242-28189</t>
  </si>
  <si>
    <t>RIVET Michel</t>
  </si>
  <si>
    <t>6A07093821772</t>
  </si>
  <si>
    <t xml:space="preserve">1 la fretière </t>
  </si>
  <si>
    <t>2026-07-12 15:30:43</t>
  </si>
  <si>
    <t>2026-07-13 12:23:09</t>
  </si>
  <si>
    <t>5233242-28190</t>
  </si>
  <si>
    <t>Olivier Pastore</t>
  </si>
  <si>
    <t>LD797667045BE</t>
  </si>
  <si>
    <t xml:space="preserve">Rue Freddy Terwagne 21 </t>
  </si>
  <si>
    <t>2026-07-12 15:41:23</t>
  </si>
  <si>
    <t>2026-07-13 12:27:26</t>
  </si>
  <si>
    <t>5233242-28191</t>
  </si>
  <si>
    <t>Crayon*1
Gravure Personnalisée*1
Crayon*1
Gravure Personnalisée*1
Coffret Cadeau*1
Crayon*1
Gravure Personnalisée*1
12 mines*1
 6 mines*1
2 Gomme *2</t>
  </si>
  <si>
    <t>Le Crayon Intemporel - Jade
Gravure Personnalisée
Le Crayon Intemporel - Carmin
Gravure Personnalisée
Coffret Cadeau
Le Crayon Intemporel - Obsidienne
Gravure Personnalisée
Mines colorées - Pack de 12 mines | 47% d'économie
🎁 Mines colorées (100% off) - Pack de 6 mines | 36% d'économie
Gomme capuchon Shield - Noir | Pack de 2 gommes</t>
  </si>
  <si>
    <t>Daniel DAUBY</t>
  </si>
  <si>
    <t>LD797552927BE</t>
  </si>
  <si>
    <t xml:space="preserve">Chaussée de Wavre 1513 </t>
  </si>
  <si>
    <t>2026-07-12 16:05:56</t>
  </si>
  <si>
    <t>2026-07-18 12:47:45</t>
  </si>
  <si>
    <t>5233242-28192</t>
  </si>
  <si>
    <t>Crayon*1
Gravure Personnalisée*1
 6 mines*1
2 Gomme *1</t>
  </si>
  <si>
    <t>Le Crayon Intemporel - Nuit
Gravure Personnalisée
🎁 Mines colorées (100% off) - Pack de 6 mines | 36% d'économie
Gomme capuchon Shield - Noir | Pack de 2 gommes</t>
  </si>
  <si>
    <t>Salah Fehada</t>
  </si>
  <si>
    <t>LX086287731NL</t>
  </si>
  <si>
    <t>Avenue de la gare 58 SAFE-GAMES</t>
  </si>
  <si>
    <t>2026-07-12 16:48:20</t>
  </si>
  <si>
    <t>2026-07-15 13:56:19</t>
  </si>
  <si>
    <t>5233242-28193</t>
  </si>
  <si>
    <t>Axelle Gaudichet</t>
  </si>
  <si>
    <t>6A07098860882</t>
  </si>
  <si>
    <t xml:space="preserve">70 Impasse Combeau </t>
  </si>
  <si>
    <t>2026-07-12 19:59:58</t>
  </si>
  <si>
    <t>2026-07-13 12:23:10</t>
  </si>
  <si>
    <t>5233242-28194</t>
  </si>
  <si>
    <t>12 mines*1
4 mines*1
 6 mines*1
2 Gomme *3</t>
  </si>
  <si>
    <t>Vincent Troch</t>
  </si>
  <si>
    <t>LD797666955BE</t>
  </si>
  <si>
    <t xml:space="preserve">Rue des Bruyères 220E </t>
  </si>
  <si>
    <t>2026-07-12 20:06:02</t>
  </si>
  <si>
    <t>5233242-28195</t>
  </si>
  <si>
    <t>Guillaume Savary</t>
  </si>
  <si>
    <t>6A07096464860</t>
  </si>
  <si>
    <t>14 Rue Rochambeau BETTER CALL G</t>
  </si>
  <si>
    <t>2026-07-12 20:17:30</t>
  </si>
  <si>
    <t>2026-07-13 12:23:11</t>
  </si>
  <si>
    <t>5233242-28196</t>
  </si>
  <si>
    <t>Jean Ghnassia</t>
  </si>
  <si>
    <t>6A07096464877</t>
  </si>
  <si>
    <t xml:space="preserve">3 Impasse Des Tamaris </t>
  </si>
  <si>
    <t>2026-07-12 21:10:13</t>
  </si>
  <si>
    <t>2026-07-13 12:23:13</t>
  </si>
  <si>
    <t>5233242-28197</t>
  </si>
  <si>
    <t>Le Crayon Intemporel - Jade
Le Crayon Intemporel - Nuit
🎁 Mines colorées (100% off) - Pack de 6 mines | 36% d'économie
Le Crayon Intemporel - Obsidienne</t>
  </si>
  <si>
    <t>Yassine Yassine</t>
  </si>
  <si>
    <t>LD797667292BE</t>
  </si>
  <si>
    <t xml:space="preserve">Avenue Jean Sibélius 30 </t>
  </si>
  <si>
    <t>2026-07-12 21:31:44</t>
  </si>
  <si>
    <t>QB-4*1</t>
  </si>
  <si>
    <t>LD798400684BE</t>
  </si>
  <si>
    <t>2026-07-23 06:41:01</t>
  </si>
  <si>
    <t>2026-07-23 12:33:15</t>
  </si>
  <si>
    <t>5233242-28198</t>
  </si>
  <si>
    <t>Philippe Caillat</t>
  </si>
  <si>
    <t>YT2619400701034390</t>
  </si>
  <si>
    <t xml:space="preserve">Hauptgasse 1 </t>
  </si>
  <si>
    <t>2026-07-12 21:49:12</t>
  </si>
  <si>
    <t>2026-07-13 12:27:27</t>
  </si>
  <si>
    <t>5233242-28199</t>
  </si>
  <si>
    <t>Sullivan DANTIN</t>
  </si>
  <si>
    <t>6A07096464891</t>
  </si>
  <si>
    <t xml:space="preserve">5 place de L’Estre </t>
  </si>
  <si>
    <t>2026-07-12 22:13:21</t>
  </si>
  <si>
    <t>2026-07-13 12:23:14</t>
  </si>
  <si>
    <t>5233242-28200</t>
  </si>
  <si>
    <t>4 mines rechargeables
🎁 Mines colorées (100% off) - Pack de 6 mines | 36% d'économie
Le Crayon Intemporel - Nuit</t>
  </si>
  <si>
    <t>Sophie Binard</t>
  </si>
  <si>
    <t>6A07098066000</t>
  </si>
  <si>
    <t xml:space="preserve">14 rue de la Bruyère </t>
  </si>
  <si>
    <t>2026-07-12 22:24:29</t>
  </si>
  <si>
    <t>2026-07-13 12:23:15</t>
  </si>
  <si>
    <t>5233242-28201</t>
  </si>
  <si>
    <t>Eleanore Plovier</t>
  </si>
  <si>
    <t>6A07098066024</t>
  </si>
  <si>
    <t xml:space="preserve">16 Impasse Messidor </t>
  </si>
  <si>
    <t>2026-07-12 22:49:02</t>
  </si>
  <si>
    <t>2026-07-15 13:51:36</t>
  </si>
  <si>
    <t>5233242-28202</t>
  </si>
  <si>
    <t>4 mines*1
 6 mines*1
2 Gomme *3
6 mines*1</t>
  </si>
  <si>
    <t>4 mines rechargeables
🎁 Mines colorées (100% off) - Pack de 6 mines | 36% d'économie
Gomme capuchon Shield - Noir | Pack de 2 gommes
Mines colorées - Pack de 6 mines | 36% d'économie</t>
  </si>
  <si>
    <t>Guy Lecuyer Lecuyer</t>
  </si>
  <si>
    <t>2019317995660433</t>
  </si>
  <si>
    <t>5300 Boul Saint Laurent 301</t>
  </si>
  <si>
    <t>2026-07-12 23:51:39</t>
  </si>
  <si>
    <t>2026-07-13 12:27:28</t>
  </si>
  <si>
    <t>5233242-28203</t>
  </si>
  <si>
    <t>CELINE MOREAU</t>
  </si>
  <si>
    <t>6A07096464921</t>
  </si>
  <si>
    <t xml:space="preserve">44 Rue du Bas Breteuil </t>
  </si>
  <si>
    <t>2026-07-13 00:10:34</t>
  </si>
  <si>
    <t>2026-07-13 12:23:16</t>
  </si>
  <si>
    <t>5233242-28204</t>
  </si>
  <si>
    <t>Vincent LE DEAN</t>
  </si>
  <si>
    <t>6A07098066031</t>
  </si>
  <si>
    <t xml:space="preserve">4 avenue Flachat </t>
  </si>
  <si>
    <t>2026-07-13 01:05:25</t>
  </si>
  <si>
    <t>2026-07-13 12:23:17</t>
  </si>
  <si>
    <t>5233242-28205</t>
  </si>
  <si>
    <t>Laurent Aufrère</t>
  </si>
  <si>
    <t>6A07098860912</t>
  </si>
  <si>
    <t xml:space="preserve">7 Rue des Barils </t>
  </si>
  <si>
    <t>2026-07-13 02:16:31</t>
  </si>
  <si>
    <t>2026-07-13 12:23:18</t>
  </si>
  <si>
    <t>5233242-28206</t>
  </si>
  <si>
    <t>Crayon*1
 6 mines*1
2 Gomme *2</t>
  </si>
  <si>
    <t>Le Crayon Intemporel - Nuit
🎁 Mines colorées (100% off) - Pack de 6 mines | 36% d'économie
Gomme capuchon Shield - Noir | Pack de 2 gommes</t>
  </si>
  <si>
    <t>GEORGIE PITA</t>
  </si>
  <si>
    <t>6A07098860936</t>
  </si>
  <si>
    <t xml:space="preserve">31 rue pierre méderic </t>
  </si>
  <si>
    <t>2026-07-13 02:46:31</t>
  </si>
  <si>
    <t>2026-07-13 12:23:19</t>
  </si>
  <si>
    <t>5233242-28207</t>
  </si>
  <si>
    <t>Olivier CHAIX</t>
  </si>
  <si>
    <t>6A07097264025</t>
  </si>
  <si>
    <t>7.13订单28180-28207需雕刻的铅笔已经全部统计</t>
  </si>
  <si>
    <t xml:space="preserve">66,rue des vallées </t>
  </si>
  <si>
    <t>2026-07-13 03:11:24</t>
  </si>
  <si>
    <t>2026-07-13 12:23:20</t>
  </si>
  <si>
    <t>5233242-28208</t>
  </si>
  <si>
    <t>Crayon*1
Coffret Cadeau*1
 6 mines*1
2 Gomme *1</t>
  </si>
  <si>
    <t>Le Crayon Intemporel - Obsidienne
Coffret Cadeau
🎁 Mines colorées (100% off) - Pack de 6 mines | 36% d'économie
Gomme capuchon Shield - Noir | Pack de 2 gommes</t>
  </si>
  <si>
    <t>Martin Flammang</t>
  </si>
  <si>
    <t>LD797766131BE</t>
  </si>
  <si>
    <t xml:space="preserve">Rue de Luxembourg 63 </t>
  </si>
  <si>
    <t>2026-07-13 09:58:16</t>
  </si>
  <si>
    <t>2026-07-14 11:49:39</t>
  </si>
  <si>
    <t>5233242-28209</t>
  </si>
  <si>
    <t>Crayon*1
Crayon*1
 Crayon*1
12 mines*1
 6 mines*1
2 Gomme *2</t>
  </si>
  <si>
    <t>Le Crayon Intemporel - Jade
Le Crayon Intemporel - Nuit
Le Crayon Intemporel - Aluminium
Mines colorées - Pack de 12 mines | 47% d'économie
🎁 Mines colorées (100% off) - Pack de 6 mines | 36% d'économie
Gomme capuchon Shield - Noir | Pack de 2 gommes</t>
  </si>
  <si>
    <t>Laurent Davoli</t>
  </si>
  <si>
    <t>YT2619400709041546</t>
  </si>
  <si>
    <t xml:space="preserve">Chemin de la Ruette 5 </t>
  </si>
  <si>
    <t>2026-07-13 13:52:05</t>
  </si>
  <si>
    <t>2026-07-14 11:49:40</t>
  </si>
  <si>
    <t>5233242-28210</t>
  </si>
  <si>
    <t>Crayon*2
Crayon*1
Gravure Personnalisée*2
Gravure Personnalisée*1
 6 mines*1
2 Gomme *4</t>
  </si>
  <si>
    <t>Le Crayon Intemporel - Nuit
Le Crayon Intemporel - Nuit
Gravure Personnalisée
Gravure Personnalisée
🎁 Mines colorées (100% off) - Pack de 6 mines | 36% d'économie
Gomme capuchon Shield - Noir | Pack de 2 gommes</t>
  </si>
  <si>
    <t>Mathieu Dapoigny</t>
  </si>
  <si>
    <t>YT2619400709239199</t>
  </si>
  <si>
    <t>Chemin de Praz-Roussy 4 bis Société Biblique de Genève</t>
  </si>
  <si>
    <t>2026-07-13 14:53:14</t>
  </si>
  <si>
    <t>2026-07-15 13:56:21</t>
  </si>
  <si>
    <t>5233242-28211</t>
  </si>
  <si>
    <t>Laetitia Favre-Galy</t>
  </si>
  <si>
    <t>6A07097559916</t>
  </si>
  <si>
    <t>7.13订单28207-28211需雕刻铅笔已经统计</t>
  </si>
  <si>
    <t xml:space="preserve">3 Rue Frédéric Dard </t>
  </si>
  <si>
    <t>2026-07-13 15:12:27</t>
  </si>
  <si>
    <t>2026-07-14 11:44:34</t>
  </si>
  <si>
    <t>5233242-28212</t>
  </si>
  <si>
    <t>49624579539208*1
4 mines*1
 6 mines*1
2 Gomme *4</t>
  </si>
  <si>
    <t>Mines colorées - Bleu clair
4 mines rechargeables
🎁 Mines colorées (100% off) - Pack de 6 mines | 36% d'économie
Gomme capuchon Shield - Noir | Pack de 2 gommes</t>
  </si>
  <si>
    <t>Pierre Putot</t>
  </si>
  <si>
    <t>6A07098370237</t>
  </si>
  <si>
    <t xml:space="preserve">3 Impasse Grande Rivolle </t>
  </si>
  <si>
    <t>2026-07-13 15:46:06</t>
  </si>
  <si>
    <t>2026-07-14 11:44:35</t>
  </si>
  <si>
    <t>5233242-28213</t>
  </si>
  <si>
    <t>olivier pianko</t>
  </si>
  <si>
    <t>6A07097650774</t>
  </si>
  <si>
    <t xml:space="preserve">10 rue Alasseur </t>
  </si>
  <si>
    <t>2026-07-13 16:37:52</t>
  </si>
  <si>
    <t>2026-07-14 11:44:36</t>
  </si>
  <si>
    <t>5233242-28214</t>
  </si>
  <si>
    <t>Michel EYCHENNE</t>
  </si>
  <si>
    <t>6A07102204206</t>
  </si>
  <si>
    <t xml:space="preserve">5 Rue Émile Duployé </t>
  </si>
  <si>
    <t>2026-07-13 20:30:18</t>
  </si>
  <si>
    <t>2026-07-14 11:44:37</t>
  </si>
  <si>
    <t>5233242-28215</t>
  </si>
  <si>
    <t>Lucien Cluzel</t>
  </si>
  <si>
    <t>6A07101395134</t>
  </si>
  <si>
    <t>31 Rue De Cugnaux Batiment B</t>
  </si>
  <si>
    <t>2026-07-13 20:35:39</t>
  </si>
  <si>
    <t>2026-07-14 11:44:38</t>
  </si>
  <si>
    <t>5233242-28216</t>
  </si>
  <si>
    <t>4 mines*1
 6 mines*1
2 Gomme *6</t>
  </si>
  <si>
    <t>Isabelle Peral</t>
  </si>
  <si>
    <t>6A07102204220</t>
  </si>
  <si>
    <t xml:space="preserve">2A rue du Hainaut </t>
  </si>
  <si>
    <t>2026-07-13 20:41:38</t>
  </si>
  <si>
    <t>2026-07-14 11:44:39</t>
  </si>
  <si>
    <t>5233242-28217</t>
  </si>
  <si>
    <t>jean-laurent ocera</t>
  </si>
  <si>
    <t>6A07103001903</t>
  </si>
  <si>
    <t xml:space="preserve">19 Boulevard De Nice </t>
  </si>
  <si>
    <t>2026-07-13 22:32:48</t>
  </si>
  <si>
    <t>2026-07-14 11:44:41</t>
  </si>
  <si>
    <t>5233242-28218</t>
  </si>
  <si>
    <t>Angelo Passarelli</t>
  </si>
  <si>
    <t>LD797766043BE</t>
  </si>
  <si>
    <t xml:space="preserve">Rue Jean Baptiste François Denys 17 </t>
  </si>
  <si>
    <t>2026-07-13 23:51:38</t>
  </si>
  <si>
    <t>5233242-28219</t>
  </si>
  <si>
    <t>Arnaud GONOT</t>
  </si>
  <si>
    <t>6A07101395141</t>
  </si>
  <si>
    <t xml:space="preserve">12 Rue du Docteur Felix Mauvoisin </t>
  </si>
  <si>
    <t>2026-07-14 01:32:03</t>
  </si>
  <si>
    <t>2026-07-14 11:44:42</t>
  </si>
  <si>
    <t>5233242-28220</t>
  </si>
  <si>
    <t>Crayon*1
2 Gomme *1
Crayon*1
 6 mines*1
Crayon*1
Gravure Personnalisée*1</t>
  </si>
  <si>
    <t>Le Crayon Intemporel - Jade
Gomme capuchon Shield - Noir | Pack de 2 gommes
Le Crayon Intemporel - Carmin
🎁 Mines colorées (100% off) - Pack de 6 mines | 36% d'économie
Le Crayon Intemporel - Nuit
Gravure Personnalisée</t>
  </si>
  <si>
    <t>Simper Teddy</t>
  </si>
  <si>
    <t>6A07100603926</t>
  </si>
  <si>
    <t xml:space="preserve">6 Le Clos Guerin </t>
  </si>
  <si>
    <t>2026-07-14 02:12:57</t>
  </si>
  <si>
    <t>2026-07-18 12:47:47</t>
  </si>
  <si>
    <t>5233242-28221</t>
  </si>
  <si>
    <t>Quentin Luisier</t>
  </si>
  <si>
    <t>YT2619500700985995</t>
  </si>
  <si>
    <t xml:space="preserve">Rue de l'Autoroute 32 A </t>
  </si>
  <si>
    <t>2026-07-14 05:10:39</t>
  </si>
  <si>
    <t>2026-07-18 12:47:49</t>
  </si>
  <si>
    <t>5233242-28222</t>
  </si>
  <si>
    <t>Le Crayon Intemporel - Jade
Le Crayon Intemporel - Carmin
🎁 Mines colorées (100% off) - Pack de 6 mines | 36% d'économie
Le Crayon Intemporel - Aluminium</t>
  </si>
  <si>
    <t>Caroline Davreux</t>
  </si>
  <si>
    <t>LD797766030BE</t>
  </si>
  <si>
    <t>7.14订单28212-28222需雕刻的铅笔已经统计</t>
  </si>
  <si>
    <t xml:space="preserve">Route de Neufchâteau 32 </t>
  </si>
  <si>
    <t>2026-07-14 06:47:46</t>
  </si>
  <si>
    <t>5233242-28223</t>
  </si>
  <si>
    <t>4 mines*2
 6 mines*1
2 Gomme *3
6 mines*1</t>
  </si>
  <si>
    <t>Karine Girard</t>
  </si>
  <si>
    <t>2019317111898443</t>
  </si>
  <si>
    <t xml:space="preserve">2-602 4e Avenue Painchaud </t>
  </si>
  <si>
    <t>2026-07-14 11:29:36</t>
  </si>
  <si>
    <t>2026-07-15 13:56:22</t>
  </si>
  <si>
    <t>5233242-28224</t>
  </si>
  <si>
    <t>Didier CAUDRON</t>
  </si>
  <si>
    <t>6A07101529812</t>
  </si>
  <si>
    <t>4 rue du Martin Pêcheur L'Échalotte</t>
  </si>
  <si>
    <t>2026-07-14 14:49:53</t>
  </si>
  <si>
    <t>2026-07-15 13:51:37</t>
  </si>
  <si>
    <t>5233242-28225</t>
  </si>
  <si>
    <t xml:space="preserve"> 6 mines*1
Crayon*1
Coffret Cadeau*1</t>
  </si>
  <si>
    <t>🎁 Mines colorées (100% off) - Pack de 6 mines | 36% d'économie
Le Crayon Intemporel - Carmin
Coffret Cadeau</t>
  </si>
  <si>
    <t>Gilles Fleuret</t>
  </si>
  <si>
    <t>6A07103494385</t>
  </si>
  <si>
    <t xml:space="preserve">Les Baumes </t>
  </si>
  <si>
    <t>2026-07-14 18:52:16</t>
  </si>
  <si>
    <t>2026-07-15 13:51:38</t>
  </si>
  <si>
    <t>5233242-28226</t>
  </si>
  <si>
    <t>Jeffrey Mounier</t>
  </si>
  <si>
    <t>6A07101888742</t>
  </si>
  <si>
    <t xml:space="preserve">1756 routes de coteaux </t>
  </si>
  <si>
    <t>2026-07-14 18:55:09</t>
  </si>
  <si>
    <t>2026-07-15 13:51:39</t>
  </si>
  <si>
    <t>5233242-28227</t>
  </si>
  <si>
    <t>12 mines*1
 6 mines*1
2 Gomme *4</t>
  </si>
  <si>
    <t>Xavier VARIN</t>
  </si>
  <si>
    <t>6A07101098028</t>
  </si>
  <si>
    <t xml:space="preserve">13 rue des champs de foire </t>
  </si>
  <si>
    <t>2026-07-14 19:14:38</t>
  </si>
  <si>
    <t>2026-07-15 13:51:40</t>
  </si>
  <si>
    <t>5233242-28228</t>
  </si>
  <si>
    <t>12 mines*1
Crayon*1
 Crayon*1
 6 mines*1
Crayon*1</t>
  </si>
  <si>
    <t>Mines colorées - Pack de 12 mines | 47% d'économie
Le Crayon Intemporel - Jade
Le Crayon Intemporel - Aluminium
🎁 Mines colorées (100% off) - Pack de 6 mines | 36% d'économie
Le Crayon Intemporel - Obsidienne</t>
  </si>
  <si>
    <t>Elena Leguay</t>
  </si>
  <si>
    <t>6A07103494392</t>
  </si>
  <si>
    <t xml:space="preserve">4 Le Bouis </t>
  </si>
  <si>
    <t>2026-07-15 01:13:37</t>
  </si>
  <si>
    <t>2026-07-15 13:51:42</t>
  </si>
  <si>
    <t>5233242-28229</t>
  </si>
  <si>
    <t>Gomme capuchon Shield - Noir | Pack de 2 gommes
🎁 Mines colorées (100% off) - Pack de 6 mines | 36% d'économie
Le Crayon Intemporel - Obsidienne
Gravure Personnalisée</t>
  </si>
  <si>
    <t>Alban Mouflin</t>
  </si>
  <si>
    <t>6A07103494422</t>
  </si>
  <si>
    <t>7.15订单28223-28229需雕刻的铅笔已经统计</t>
  </si>
  <si>
    <t xml:space="preserve">20 Avenue de France </t>
  </si>
  <si>
    <t>2026-07-15 03:05:16</t>
  </si>
  <si>
    <t>2026-07-18 12:47:51</t>
  </si>
  <si>
    <t>5233242-28230
5233242-28232</t>
  </si>
  <si>
    <t>4 mines*1
 6 mines*1
2 Gomme *1
2 Gomme *1
 Crayon*1
Crayon*1
 6 mines*1
Crayon*1</t>
  </si>
  <si>
    <t>4 mines rechargeables
🎁 Mines colorées (100% off) - Pack de 6 mines | 36% d'économie
Gomme capuchon Shield - Noir | Pack de 2 gommes
Gomme capuchon Shield - Noir | Pack de 2 gommes
Le Crayon Intemporel - Aluminium
Le Crayon Intemporel - Jade
🎁 Mines colorées (100% off) - Pack de 6 mines | 36% d'économie
Le Crayon Intemporel - Saturne</t>
  </si>
  <si>
    <t>Lucie Lemoine</t>
  </si>
  <si>
    <t>6A07153261470</t>
  </si>
  <si>
    <t>铅笔28230 和
28232两个订单合并一起发货</t>
  </si>
  <si>
    <t xml:space="preserve">752 Boucle du Plan </t>
  </si>
  <si>
    <t>2026-07-15 16:16:01</t>
  </si>
  <si>
    <t>2026-07-16 12:52:29</t>
  </si>
  <si>
    <t>5233242-28231</t>
  </si>
  <si>
    <t>Kevin Grosjean</t>
  </si>
  <si>
    <t>YT2619700701138665</t>
  </si>
  <si>
    <t>客人要求暂时不处理</t>
  </si>
  <si>
    <t>7.16订单28231有刻字内容但 没有刻字标志  一支黑色笔内容K. Grosjean 已经添加雕刻表</t>
  </si>
  <si>
    <t xml:space="preserve">Grand-Rue 6 </t>
  </si>
  <si>
    <t>2026-07-15 17:52:28</t>
  </si>
  <si>
    <t>2026-07-19 11:08:37</t>
  </si>
  <si>
    <t>5233242-28233</t>
  </si>
  <si>
    <t>2 Gomme *1
 6 mines*1
4 mine*1</t>
  </si>
  <si>
    <t>Gomme capuchon Shield - Noir | Pack de 2 gommes
🎁 Mines colorées (100% off) - Pack de 6 mines | 36% d'économie
Lot de 4 mines rechargeables</t>
  </si>
  <si>
    <t>Alice Tonneau</t>
  </si>
  <si>
    <t>6A07143797385</t>
  </si>
  <si>
    <t xml:space="preserve">2 bis Rue Maurice Sarraut </t>
  </si>
  <si>
    <t>2026-07-15 19:43:38</t>
  </si>
  <si>
    <t>2026-07-16 12:52:30</t>
  </si>
  <si>
    <t>45157341331720*1</t>
  </si>
  <si>
    <t>Lot de 4 mines rechargeables</t>
  </si>
  <si>
    <t>87500156640644</t>
  </si>
  <si>
    <t>2026-07-26 07:10:39</t>
  </si>
  <si>
    <t>2026-07-31 07:46:06</t>
  </si>
  <si>
    <t>5233242-28234</t>
  </si>
  <si>
    <t>Thiago De langenhagen</t>
  </si>
  <si>
    <t>6A07150062964</t>
  </si>
  <si>
    <t>Square Saint Arède F11</t>
  </si>
  <si>
    <t>2026-07-16 00:06:46</t>
  </si>
  <si>
    <t>2026-07-16 12:52:31</t>
  </si>
  <si>
    <t>5233242-28235</t>
  </si>
  <si>
    <t>Crayon*2
 6 mines*1</t>
  </si>
  <si>
    <t>Le Crayon Intemporel - Obsidienne
🎁 Mines colorées (100% off) - Pack de 6 mines | 36% d'économie</t>
  </si>
  <si>
    <t>Gaëlle Guillot</t>
  </si>
  <si>
    <t>6A07150062971</t>
  </si>
  <si>
    <t xml:space="preserve">21 Route de Ferrières </t>
  </si>
  <si>
    <t>2026-07-16 00:54:56</t>
  </si>
  <si>
    <t>2026-07-16 12:52:32</t>
  </si>
  <si>
    <t>45242109231368*1</t>
  </si>
  <si>
    <t>Le Crayon Intemporel - Obsidienne</t>
  </si>
  <si>
    <t>87500156466393</t>
  </si>
  <si>
    <t>法国发货</t>
  </si>
  <si>
    <t>2026-07-26 07:44:26</t>
  </si>
  <si>
    <t>5233242-28236</t>
  </si>
  <si>
    <t>Pascal Roussel</t>
  </si>
  <si>
    <t>6A07143797408</t>
  </si>
  <si>
    <t>7.16订单28230-28236需雕刻的笔已经统计</t>
  </si>
  <si>
    <t xml:space="preserve">532 Route de Saint-Laurent </t>
  </si>
  <si>
    <t>2026-07-16 01:17:41</t>
  </si>
  <si>
    <t>2026-07-16 12:52:33</t>
  </si>
  <si>
    <t>5233242-28237</t>
  </si>
  <si>
    <t>Le Crayon Intemporel - Nuit
🎁 Mines colorées (100% off) - Pack de 6 mines | 36% d'économie</t>
  </si>
  <si>
    <t>Lycia Die Morini</t>
  </si>
  <si>
    <t>6A07190873360</t>
  </si>
  <si>
    <t>26 Lotissement les Grillons 32 route de caireval</t>
  </si>
  <si>
    <t>2026-07-16 16:39:59</t>
  </si>
  <si>
    <t>2026-07-17 11:03:56</t>
  </si>
  <si>
    <t>5233242-28238</t>
  </si>
  <si>
    <t>Laurence Bordaisco</t>
  </si>
  <si>
    <t>6A07253378047</t>
  </si>
  <si>
    <t>24 rue Dupaty Residence muratel, bâtiment: les marronniers 3, appartement 243</t>
  </si>
  <si>
    <t>2026-07-16 19:27:33</t>
  </si>
  <si>
    <t>2026-07-17 11:03:58</t>
  </si>
  <si>
    <t>5233242-28239</t>
  </si>
  <si>
    <t>Crayon*1
Gravure Personnalisée*1
 6 mines*1</t>
  </si>
  <si>
    <t>Le Crayon Intemporel - Obsidienne
Gravure Personnalisée
🎁 Mines colorées (100% off) - Pack de 6 mines | 36% d'économie</t>
  </si>
  <si>
    <t>Aurelie Lechifflard</t>
  </si>
  <si>
    <t>LD798334455BE</t>
  </si>
  <si>
    <t>7.17订单28237-28239需雕刻的铅笔已经统计</t>
  </si>
  <si>
    <t xml:space="preserve">Weldadigheidsstraat 37 </t>
  </si>
  <si>
    <t>2026-07-17 02:23:41</t>
  </si>
  <si>
    <t>2026-07-21 17:36:33</t>
  </si>
  <si>
    <t>5233242-28240</t>
  </si>
  <si>
    <t xml:space="preserve"> Crayon*1
Crayon*1
2 Gomme *1
4 mines*2
 6 mines*1
Crayon*1</t>
  </si>
  <si>
    <t>Le Crayon Intemporel - Aluminium
Le Crayon Intemporel - Nuit
2 gommes-capuchons Shield - Noir | Pack de 2 gommes
4 mines rechargeables
🎁 Mines colorées (100% off) - Pack de 6 mines | 36% d'économie
Le Crayon Intemporel - Carmin</t>
  </si>
  <si>
    <t>Adeline HIS</t>
  </si>
  <si>
    <t>6A07248165201</t>
  </si>
  <si>
    <t>7.17订单28240有雕刻内容但没有雕刻标识  一支蓝色笔 内容Guillaume H.  一支红色笔 内容Adeline H. 都暂未添加了雕刻</t>
  </si>
  <si>
    <t xml:space="preserve">14 rue de Noyen </t>
  </si>
  <si>
    <t>2026-07-17 13:57:18</t>
  </si>
  <si>
    <t>2026-07-19 11:17:12</t>
  </si>
  <si>
    <t>5233242-28241</t>
  </si>
  <si>
    <t xml:space="preserve"> Crayon*1
Crayon*1
Crayon*1
 6 mines*1
2 Gomme *1</t>
  </si>
  <si>
    <t>Le Crayon Intemporel - Aluminium
Le Crayon Intemporel - Jade
Le Crayon Intemporel - Obsidienne
🎁 Mines colorées (100% off) - Pack de 6 mines | 36% d'économie
2 gommes-capuchons Shield - Noir | Pack de 2 gommes</t>
  </si>
  <si>
    <t>Alexis DRUESNE</t>
  </si>
  <si>
    <t>6A07256865063</t>
  </si>
  <si>
    <t xml:space="preserve">125 Rue Saint Joseph </t>
  </si>
  <si>
    <t>2026-07-17 16:03:52</t>
  </si>
  <si>
    <t>2026-07-18 12:47:52</t>
  </si>
  <si>
    <t>5233242-28242</t>
  </si>
  <si>
    <t>🎁 Mines colorées (100% off) - Pack de 6 mines | 36% d'économie
2 gommes-capuchons Shield - Noir | Pack de 2 gommes</t>
  </si>
  <si>
    <t>6A07250882387</t>
  </si>
  <si>
    <t xml:space="preserve">54 RUE DE LA TREILLE </t>
  </si>
  <si>
    <t>2026-07-17 18:01:39</t>
  </si>
  <si>
    <t>2026-07-18 12:47:53</t>
  </si>
  <si>
    <t>5233242-28243</t>
  </si>
  <si>
    <t>4 mines rechargeables
🎁 Mines colorées (100% off) - Pack de 6 mines | 36% d'économie
2 gommes-capuchons Shield - Noir | Pack de 2 gommes</t>
  </si>
  <si>
    <t>Marie-Caroline Schwaba-Feuillette</t>
  </si>
  <si>
    <t>6A07257272990</t>
  </si>
  <si>
    <t xml:space="preserve">38 rue du comté de Mons </t>
  </si>
  <si>
    <t>2026-07-17 18:07:30</t>
  </si>
  <si>
    <t>2026-07-18 12:47:55</t>
  </si>
  <si>
    <t>5233242-28244</t>
  </si>
  <si>
    <t>Ary Dony</t>
  </si>
  <si>
    <t>SF6047742960337</t>
  </si>
  <si>
    <t xml:space="preserve">Rue Saint-Léonard 1B </t>
  </si>
  <si>
    <t>2026-07-17 18:19:48</t>
  </si>
  <si>
    <t>5233242-28245</t>
  </si>
  <si>
    <t>Flavien Vanborre</t>
  </si>
  <si>
    <t>6A07250882394</t>
  </si>
  <si>
    <t xml:space="preserve">13 Rue de la Tranelle </t>
  </si>
  <si>
    <t>2026-07-17 19:07:09</t>
  </si>
  <si>
    <t>5233242-28246</t>
  </si>
  <si>
    <t>Mathéo Sauchay</t>
  </si>
  <si>
    <t>6A07254077185</t>
  </si>
  <si>
    <t xml:space="preserve">82 Rue Boullay </t>
  </si>
  <si>
    <t>2026-07-17 22:36:32</t>
  </si>
  <si>
    <t>2026-07-18 12:47:57</t>
  </si>
  <si>
    <t>5233242-28247</t>
  </si>
  <si>
    <t>Crayon*1
2 Gomme *1
4 mines*1
 6 mines*1</t>
  </si>
  <si>
    <t>Le Crayon Intemporel - Obsidienne
2 gommes-capuchons Shield - Noir | Pack de 2 gommes
4 mines rechargeables
🎁 Mines colorées (100% off) - Pack de 6 mines | 36% d'économie</t>
  </si>
  <si>
    <t>mael fournier</t>
  </si>
  <si>
    <t>6A07254077192</t>
  </si>
  <si>
    <t xml:space="preserve">28bis Les Basses de Laménil </t>
  </si>
  <si>
    <t>2026-07-17 23:31:07</t>
  </si>
  <si>
    <t>2026-07-18 12:47:58</t>
  </si>
  <si>
    <t>5233242-28248</t>
  </si>
  <si>
    <t>Emilie Hamelin</t>
  </si>
  <si>
    <t>6A07250882431</t>
  </si>
  <si>
    <t xml:space="preserve">19 rue de la Chapelle </t>
  </si>
  <si>
    <t>2026-07-18 02:42:54</t>
  </si>
  <si>
    <t>2026-07-18 12:47:59</t>
  </si>
  <si>
    <t>87500156466416</t>
  </si>
  <si>
    <t>2026-07-26 07:45:44</t>
  </si>
  <si>
    <t>2026-07-31 07:52:45</t>
  </si>
  <si>
    <t>5233242-28249</t>
  </si>
  <si>
    <t>4 mine*1
2 Gomme *1
 6 mines*1
Crayon*1</t>
  </si>
  <si>
    <t>Lot de 4 mines rechargeables
2 gommes-capuchons Shield - Noir | Pack de 2 gommes
🎁 Mines colorées (100% off) - Pack de 6 mines | 36% d'économie
Le Crayon Intemporel - Carmin</t>
  </si>
  <si>
    <t>Lucas DIEM</t>
  </si>
  <si>
    <t>6A07247686844</t>
  </si>
  <si>
    <t>20 Rue de Vendenheim Maison individuelle bleue</t>
  </si>
  <si>
    <t>2026-07-18 03:59:30</t>
  </si>
  <si>
    <t>2026-07-18 12:48:00</t>
  </si>
  <si>
    <t>5233242-28250</t>
  </si>
  <si>
    <t>4 mines*1
Crayon*1</t>
  </si>
  <si>
    <t>4 mines rechargeables
Le Crayon Intemporel - Carmin</t>
  </si>
  <si>
    <t>Florent Jacques</t>
  </si>
  <si>
    <t>GV26CAA0U054290373</t>
  </si>
  <si>
    <t>65 Rue Des épinettes 3</t>
  </si>
  <si>
    <t>2026-07-18 10:27:59</t>
  </si>
  <si>
    <t>2026-07-19 11:07:02</t>
  </si>
  <si>
    <t>5233242-28251</t>
  </si>
  <si>
    <t>2 gommes-capuchons Shield - Noir | Pack de 2 gommes
🎁 Mines colorées (100% off) - Pack de 6 mines | 36% d'économie
Lot de 4 mines rechargeables</t>
  </si>
  <si>
    <t>Lucas Yvernaux</t>
  </si>
  <si>
    <t>6A07257571840</t>
  </si>
  <si>
    <t xml:space="preserve">22 Rue de l'Eglise </t>
  </si>
  <si>
    <t>2026-07-18 19:15:48</t>
  </si>
  <si>
    <t>2026-07-19 11:07:03</t>
  </si>
  <si>
    <t>5233242-28252</t>
  </si>
  <si>
    <t>Mines colorée*1
2 Gomme *1
 6 mines*1
Crayon*1</t>
  </si>
  <si>
    <t>Mines colorées - Bleu foncé
2 gommes-capuchons Shield - Noir | Pack de 2 gommes
🎁 Mines colorées (100% off) - Pack de 6 mines | 36% d'économie
Le Crayon Intemporel - Nuit</t>
  </si>
  <si>
    <t>Valérie Aubine</t>
  </si>
  <si>
    <t>6A07247982939</t>
  </si>
  <si>
    <t xml:space="preserve">5 Rue Bataillard </t>
  </si>
  <si>
    <t>2026-07-18 19:52:43</t>
  </si>
  <si>
    <t>2026-07-19 11:07:04</t>
  </si>
  <si>
    <t>5233242-28253</t>
  </si>
  <si>
    <t>4 mines*1
Crayon*1
Gravure Personnalisée*1
2 Gomme *1
 6 mines*1</t>
  </si>
  <si>
    <t>4 mines rechargeables
Le Crayon Intemporel - Nuit
Gravure Personnalisée
2 gommes-capuchons Shield - Noir | Pack de 2 gommes
🎁 Mines colorées (100% off) - Pack de 6 mines | 36% d'économie</t>
  </si>
  <si>
    <t>Sohayb ACHELIF</t>
  </si>
  <si>
    <t>6A07251179158</t>
  </si>
  <si>
    <t xml:space="preserve">3 Impasse Ledru Rollin </t>
  </si>
  <si>
    <t>2026-07-18 23:34:04</t>
  </si>
  <si>
    <t>2026-07-21 17:36:36</t>
  </si>
  <si>
    <t>5233242-28254</t>
  </si>
  <si>
    <t>Théo Faitout</t>
  </si>
  <si>
    <t>6A07251179165</t>
  </si>
  <si>
    <t xml:space="preserve">16 lotissements les rollandins </t>
  </si>
  <si>
    <t>2026-07-19 00:06:39</t>
  </si>
  <si>
    <t>2026-07-19 11:07:05</t>
  </si>
  <si>
    <t>5233242-28255</t>
  </si>
  <si>
    <t>Michel PERRIN</t>
  </si>
  <si>
    <t>6A07251179172</t>
  </si>
  <si>
    <t xml:space="preserve">953 Route de Boissay </t>
  </si>
  <si>
    <t>2026-07-19 03:08:57</t>
  </si>
  <si>
    <t>2026-07-19 11:07:06</t>
  </si>
  <si>
    <t>5233242-28256</t>
  </si>
  <si>
    <t>Crayon*1
Gravure Personnalisée*1
Coffret Cadeau*1
2 Gomme *1
 6 mines*1</t>
  </si>
  <si>
    <t>Le Crayon Intemporel - Nuit
Gravure Personnalisée
Coffret Cadeau
2 gommes-capuchons Shield - Noir | Pack de 2 gommes
🎁 Mines colorées (100% off) - Pack de 6 mines | 36% d'économie</t>
  </si>
  <si>
    <t>Ouafaa FALOUSS</t>
  </si>
  <si>
    <t>6A07251203983</t>
  </si>
  <si>
    <t>7.19订单28250-28256需要雕刻的铅笔已经统计</t>
  </si>
  <si>
    <t xml:space="preserve">3 Impasse de la Vallée </t>
  </si>
  <si>
    <t>2026-07-19 07:26:20</t>
  </si>
  <si>
    <t>2026-07-21 17:36:38</t>
  </si>
  <si>
    <t>5233242-28257</t>
  </si>
  <si>
    <t>4 mines*1
12 mines*1
Coffret Cadeau*2
2 Gomme *2
 6 mines*1
Crayon*2
Crayon*1</t>
  </si>
  <si>
    <t>4 mines rechargeables
Mines colorées - Pack de 12 mines | 47% d'économie
Coffret Cadeau
2 gommes-capuchons Shield - Noir | Pack de 2 gommes
🎁 Mines colorées (100% off) - Pack de 6 mines | 36% d'économie
Le Crayon Intemporel - Carmin
Le Crayon Intemporel - Carmin</t>
  </si>
  <si>
    <t>Thierry Baruch</t>
  </si>
  <si>
    <t>6A07248046036</t>
  </si>
  <si>
    <t xml:space="preserve">14 Rue des Anciens Remparts </t>
  </si>
  <si>
    <t>2026-07-19 13:23:17</t>
  </si>
  <si>
    <t>2026-07-20 11:53:50</t>
  </si>
  <si>
    <t>5233242-28258</t>
  </si>
  <si>
    <t>4 mines*1
Crayon*1
Gravure Personnalisée*1
Coffret Cadeau*1
 6 mines*1
2 Gomme *1</t>
  </si>
  <si>
    <t>4 mines rechargeables
Le Crayon Intemporel - Nuit
Gravure Personnalisée
Coffret Cadeau
🎁 Mines colorées (100% off) - Pack de 6 mines | 36% d'économie
2 gommes-capuchons Shield - Noir | Pack de 2 gommes</t>
  </si>
  <si>
    <t>Zoé Pinel</t>
  </si>
  <si>
    <t>6A07257635290</t>
  </si>
  <si>
    <t xml:space="preserve">8A rue du calvaire </t>
  </si>
  <si>
    <t>2026-07-19 14:59:33</t>
  </si>
  <si>
    <t>2026-07-23 12:49:06</t>
  </si>
  <si>
    <t>5233242-28259</t>
  </si>
  <si>
    <t>4 mines*1
2 Gomme *2
 6 mines*1</t>
  </si>
  <si>
    <t>4 mines rechargeables
2 gommes-capuchons Shield - Noir | Pack de 2 gommes
🎁 Mines colorées (100% off) - Pack de 6 mines | 36% d'économie</t>
  </si>
  <si>
    <t>Edouard Bertrand</t>
  </si>
  <si>
    <t>6A07248235584</t>
  </si>
  <si>
    <t>25 Rue Nicolas LEBLANC</t>
  </si>
  <si>
    <t>2026-07-19 15:46:46</t>
  </si>
  <si>
    <t>2026-07-20 11:53:51</t>
  </si>
  <si>
    <t>5233242-28260</t>
  </si>
  <si>
    <t>Alessandro Biancat</t>
  </si>
  <si>
    <t>6A07254624433</t>
  </si>
  <si>
    <t xml:space="preserve">32 avenue Lucie-Desnos </t>
  </si>
  <si>
    <t>2026-07-19 21:32:49</t>
  </si>
  <si>
    <t>2026-07-20 11:53:52</t>
  </si>
  <si>
    <t>5233242-28261</t>
  </si>
  <si>
    <t>Le Crayon Intemporel - Jade
Gravure Personnalisée
🎁 Mines colorées (100% off) - Pack de 6 mines | 36% d'économie
2 gommes-capuchons Shield - Noir | Pack de 2 gommes</t>
  </si>
  <si>
    <t>Patrick MATELOT</t>
  </si>
  <si>
    <t>6A07257824731</t>
  </si>
  <si>
    <t>7 rue de la vallée P.V.M. VOLETS ROULANTS</t>
  </si>
  <si>
    <t>2026-07-19 23:19:11</t>
  </si>
  <si>
    <t>2026-07-23 12:49:07</t>
  </si>
  <si>
    <t>5233242-28262</t>
  </si>
  <si>
    <t>Crayon*2
2 Gomme *2
 6 mines*1
Crayon*1</t>
  </si>
  <si>
    <t>Le Crayon Intemporel - Obsidienne
2 gommes-capuchons Shield - Noir | Pack de 2 gommes
🎁 Mines colorées (100% off) - Pack de 6 mines | 36% d'économie
Le Crayon Intemporel - Nuit</t>
  </si>
  <si>
    <t>Emélie Fadda</t>
  </si>
  <si>
    <t>6A07257824724</t>
  </si>
  <si>
    <t>7.20订单28257-28262需雕刻的铅笔已经统计</t>
  </si>
  <si>
    <t>13b Rue de la Libération Boutique des quatre saisons</t>
  </si>
  <si>
    <t>2026-07-20 00:29:24</t>
  </si>
  <si>
    <t>2026-07-20 11:53:53</t>
  </si>
  <si>
    <t>5233242-28263</t>
  </si>
  <si>
    <t>Tess Labruyere</t>
  </si>
  <si>
    <t>6A07262086681</t>
  </si>
  <si>
    <t xml:space="preserve">974 Route du Chateau de Lamothe-Bézat </t>
  </si>
  <si>
    <t>2026-07-20 14:55:13</t>
  </si>
  <si>
    <t>2026-07-20 16:12:02</t>
  </si>
  <si>
    <t>5233242-28264</t>
  </si>
  <si>
    <t>2 Gomme *1
 6 mines*1
Crayon*1
Gravure Personnalisée*1
Coffret Cadeau*1</t>
  </si>
  <si>
    <t>2 gommes-capuchons Shield - Noir | Pack de 2 gommes
🎁 Mines colorées (100% off) - Pack de 6 mines | 36% d'économie
Le Crayon Intemporel - Carmin
Gravure Personnalisée
Coffret Cadeau</t>
  </si>
  <si>
    <t>francoise GIRAUDET</t>
  </si>
  <si>
    <t>6A07262743867</t>
  </si>
  <si>
    <t xml:space="preserve">22 Rue du Peu de Lara </t>
  </si>
  <si>
    <t>2026-07-20 17:57:32</t>
  </si>
  <si>
    <t>2026-07-23 12:49:09</t>
  </si>
  <si>
    <t>5233242-28265</t>
  </si>
  <si>
    <t>4 mines*1
12 mines*1
2 Gomme *1
 6 mines*1
Crayon*1</t>
  </si>
  <si>
    <t>4 mines rechargeables
Mines colorées - Pack de 12 mines | 47% d'économie
2 gommes-capuchons Shield - Noir | Pack de 2 gommes
🎁 Mines colorées (100% off) - Pack de 6 mines | 36% d'économie
Le Crayon Intemporel - Obsidienne</t>
  </si>
  <si>
    <t>Emy De Coninck</t>
  </si>
  <si>
    <t>LD798268875BE</t>
  </si>
  <si>
    <t xml:space="preserve">Rue Zulmar Hecq 24 </t>
  </si>
  <si>
    <t>2026-07-20 18:15:17</t>
  </si>
  <si>
    <t>2026-07-21 12:21:58</t>
  </si>
  <si>
    <t>5233242-28266</t>
  </si>
  <si>
    <t>45407586615560*1
58084954898696*1
45242109231368*1</t>
  </si>
  <si>
    <t>Frédéric De Castel</t>
  </si>
  <si>
    <t>5Y00595597145</t>
  </si>
  <si>
    <t xml:space="preserve">32 Rue Mario Capra </t>
  </si>
  <si>
    <t>2026-07-20 18:40:34</t>
  </si>
  <si>
    <t>2026-07-28 06:24:22</t>
  </si>
  <si>
    <t>5233242-28267</t>
  </si>
  <si>
    <t>4 mines*1
 6 mines*1
Crayon*1
Gravure Personnalisée*1
Coffret Cadeau*1</t>
  </si>
  <si>
    <t>4 mines rechargeables
🎁 Mines colorées (100% off) - Pack de 6 mines | 36% d'économie
Le Crayon Intemporel - Obsidienne
Gravure Personnalisée
Coffret Cadeau</t>
  </si>
  <si>
    <t>Bianca Tedesco</t>
  </si>
  <si>
    <t>YT2620200701126130</t>
  </si>
  <si>
    <t xml:space="preserve">Chemin Gilbert-Trolliet 3 </t>
  </si>
  <si>
    <t>2026-07-20 20:03:47</t>
  </si>
  <si>
    <t>2026-07-23 12:57:35</t>
  </si>
  <si>
    <t>5233242-28268</t>
  </si>
  <si>
    <t>2 Gomme *1
4 mines*1
Crayon*1
Crayon*1
 6 mines*1
Crayon*1</t>
  </si>
  <si>
    <t>2 gommes-capuchons Shield - Noir | Pack de 2 gommes
4 mines rechargeables
Le Crayon Intemporel - Saturne
Le Crayon Intemporel - Nuit
🎁 Mines colorées (100% off) - Pack de 6 mines | 36% d'économie
Le Crayon Intemporel - Obsidienne</t>
  </si>
  <si>
    <t>Florence Sterlin</t>
  </si>
  <si>
    <t>6A07263540656</t>
  </si>
  <si>
    <t xml:space="preserve">10 Rue Du Vieux Lavoir </t>
  </si>
  <si>
    <t>2026-07-20 20:07:51</t>
  </si>
  <si>
    <t>2026-07-21 12:15:22</t>
  </si>
  <si>
    <t>5233242-28269</t>
  </si>
  <si>
    <t>12 mines*1
2 Gomme *1
4 mines*1
 6 mines*1
Crayon*1
Gravure Personnalisée*1</t>
  </si>
  <si>
    <t>Mines colorées - Pack de 12 mines | 47% d'économie
2 gommes-capuchons Shield - Noir | Pack de 2 gommes
4 mines rechargeables
🎁 Mines colorées (100% off) - Pack de 6 mines | 36% d'économie
Le Crayon Intemporel - Nuit
Gravure Personnalisée</t>
  </si>
  <si>
    <t>Jens Donatsch</t>
  </si>
  <si>
    <t>YT2620200701126148</t>
  </si>
  <si>
    <t xml:space="preserve">Grabenstrasse 27 </t>
  </si>
  <si>
    <t>2026-07-20 20:17:10</t>
  </si>
  <si>
    <t>2026-07-23 12:57:37</t>
  </si>
  <si>
    <t>5233242-28270</t>
  </si>
  <si>
    <t>Coffret Cadeau*1
2 Gomme *1
 6 mines*1
Gravure Personnalisée*1
Crayon*1</t>
  </si>
  <si>
    <t>Coffret Cadeau
2 gommes-capuchons Shield - Noir | Pack de 2 gommes
🎁 Mines colorées (100% off) - Pack de 6 mines | 36% d'économie
Gravure Personnalisée
Le Crayon Intemporel - Carmin</t>
  </si>
  <si>
    <t>7321315918396107</t>
  </si>
  <si>
    <t>2026-07-20 20:39:32</t>
  </si>
  <si>
    <t>5233242-28271</t>
  </si>
  <si>
    <t>58195854557448*1
45407589237000*1
45242109329672*1
58084954898696*1
45242109231368*1</t>
  </si>
  <si>
    <t>2 gommes-capuchons Shield - Noir | Pack de 2 gommes
Le Crayon Intemporel - Aluminium
Le Crayon Intemporel - Carmin
🎁 Mines colorées (100% off) - Pack de 6 mines | 36% d'économie
Le Crayon Intemporel - Obsidienne</t>
  </si>
  <si>
    <t>Eléonore Rault Supiot</t>
  </si>
  <si>
    <t>5Y00595516481</t>
  </si>
  <si>
    <t xml:space="preserve">146 Avenue Jean Jaures </t>
  </si>
  <si>
    <t>2026-07-20 20:49:18</t>
  </si>
  <si>
    <t>2026-07-28 06:24:24</t>
  </si>
  <si>
    <t>5233242-28272</t>
  </si>
  <si>
    <t>45407589237000*1
45407586615560*1
58084954898696*1
58195854557448*1</t>
  </si>
  <si>
    <t>Le Crayon Intemporel - Aluminium
4 mines rechargeables
🎁 Mines colorées (100% off) - Pack de 6 mines | 36% d'économie
2 gommes-capuchons Shield - Noir | Pack de 2 gommes</t>
  </si>
  <si>
    <t>Marianne HACHE</t>
  </si>
  <si>
    <t>8J02289979077</t>
  </si>
  <si>
    <t xml:space="preserve">11 Rue Maurice Béjart </t>
  </si>
  <si>
    <t>2026-07-20 21:13:47</t>
  </si>
  <si>
    <t>2026-07-28 06:24:25</t>
  </si>
  <si>
    <t>5233242-28273</t>
  </si>
  <si>
    <t>Le Crayon Intemporel - Carmin
Gravure Personnalisée
🎁 Mines colorées (100% off) - Pack de 6 mines | 36% d'économie</t>
  </si>
  <si>
    <t>Max Lrt</t>
  </si>
  <si>
    <t>6A07261153131</t>
  </si>
  <si>
    <t xml:space="preserve">16 Ter Avenue de la Forêt </t>
  </si>
  <si>
    <t>2026-07-20 21:33:17</t>
  </si>
  <si>
    <t>2026-07-23 12:49:11</t>
  </si>
  <si>
    <t>5233242-28274</t>
  </si>
  <si>
    <t>2 Gomme *1
4 mines*1
 6 mines*1
Crayon*2
Crayon*1
Gravure Personnalisée*2
Gravure Personnalisée*1</t>
  </si>
  <si>
    <t>2 gommes-capuchons Shield - Noir | Pack de 2 gommes
4 mines rechargeables
🎁 Mines colorées (100% off) - Pack de 6 mines | 36% d'économie
Le Crayon Intemporel - Obsidienne
Le Crayon Intemporel - Obsidienne
Gravure Personnalisée
Gravure Personnalisée</t>
  </si>
  <si>
    <t>Anne-Lise Briot</t>
  </si>
  <si>
    <t>6A07262743881</t>
  </si>
  <si>
    <t xml:space="preserve">49 Rue Vidame </t>
  </si>
  <si>
    <t>2026-07-20 21:35:16</t>
  </si>
  <si>
    <t>2026-07-23 12:49:13</t>
  </si>
  <si>
    <t>5233242-28275</t>
  </si>
  <si>
    <t>58195854557448*1
45242109231368*1
45242109395208*1
58084954898696*1
45242109296904*1
49624586256648*1</t>
  </si>
  <si>
    <t>2 gommes-capuchons Shield - Noir | Pack de 2 gommes
Le Crayon Intemporel - Obsidienne
Le Crayon Intemporel - Nuit
🎁 Mines colorées (100% off) - Pack de 6 mines | 36% d'économie
Le Crayon Intemporel - Saturne
Mines colorées - Pack de 6 mines | 36% d'économie</t>
  </si>
  <si>
    <t>DIAOU MBOULA</t>
  </si>
  <si>
    <t>5Y00595516474</t>
  </si>
  <si>
    <t>15 Parc de la Vallée apt 41</t>
  </si>
  <si>
    <t>2026-07-20 21:56:01</t>
  </si>
  <si>
    <t>2026-07-28 06:24:26</t>
  </si>
  <si>
    <t>5233242-28276</t>
  </si>
  <si>
    <t>45407589237000*1
45242109395208*1
58084954898696*1
45242109329672*1</t>
  </si>
  <si>
    <t>Le Crayon Intemporel - Aluminium
Le Crayon Intemporel - Nuit
🎁 Mines colorées (100% off) - Pack de 6 mines | 36% d'économie
Le Crayon Intemporel - Carmin</t>
  </si>
  <si>
    <t>Aurélie Depaux</t>
  </si>
  <si>
    <t>5Y00595597121</t>
  </si>
  <si>
    <t xml:space="preserve">30 Rue De L'église </t>
  </si>
  <si>
    <t>2026-07-20 22:08:26</t>
  </si>
  <si>
    <t>2026-07-28 06:24:27</t>
  </si>
  <si>
    <t>5233242-28277</t>
  </si>
  <si>
    <t>6 mines*1
Crayon*1
2 Gomme *1
 6 mines*1</t>
  </si>
  <si>
    <t>Mines colorées - Pack de 6 mines | 36% d'économie
Le Crayon Intemporel - Carmin
2 gommes-capuchons Shield - Noir | Pack de 2 gommes
🎁 Mines colorées (100% off) - Pack de 6 mines | 36% d'économie</t>
  </si>
  <si>
    <t>Claudie Blanc</t>
  </si>
  <si>
    <t>6A07261153148</t>
  </si>
  <si>
    <t>12 Rue Du Luxembourg Valleraugue</t>
  </si>
  <si>
    <t>2026-07-20 23:22:33</t>
  </si>
  <si>
    <t>2026-07-21 12:15:23</t>
  </si>
  <si>
    <t>5233242-28278</t>
  </si>
  <si>
    <t>2 Gomme *2
 6 mines*1
Crayon*1</t>
  </si>
  <si>
    <t>2 gommes-capuchons Shield - Noir | Pack de 2 gommes
🎁 Mines colorées (100% off) - Pack de 6 mines | 36% d'économie
Le Crayon Intemporel - Nuit</t>
  </si>
  <si>
    <t>Valérie Tilman</t>
  </si>
  <si>
    <t>LD798269218BE</t>
  </si>
  <si>
    <t xml:space="preserve">Rue Gatti de Gamond 88/14 </t>
  </si>
  <si>
    <t>2026-07-21 00:05:26</t>
  </si>
  <si>
    <t>5233242-28279</t>
  </si>
  <si>
    <t>4 mines*1
 Crayon*1
Gravure Personnalisée*1
 6 mines*1</t>
  </si>
  <si>
    <t>4 mines rechargeables
Le Crayon Intemporel - Aluminium
Gravure Personnalisée
🎁 Mines colorées (100% off) - Pack de 6 mines | 36% d'économie</t>
  </si>
  <si>
    <t>Laure ROLLAND</t>
  </si>
  <si>
    <t>6A07261153155</t>
  </si>
  <si>
    <t xml:space="preserve">9 rue casimir PINEL </t>
  </si>
  <si>
    <t>2026-07-21 00:36:25</t>
  </si>
  <si>
    <t>2026-07-23 12:49:15</t>
  </si>
  <si>
    <t>5233242-28280</t>
  </si>
  <si>
    <t>4 mines rechargeables
Le Crayon Intemporel - Carmin
Le Crayon Intemporel - Carmin
🎁 Mines colorées (100% off) - Pack de 6 mines | 36% d'économie</t>
  </si>
  <si>
    <t>Stephane Bossay</t>
  </si>
  <si>
    <t>6A07261153162</t>
  </si>
  <si>
    <t xml:space="preserve">51 Rue du Rocher </t>
  </si>
  <si>
    <t>2026-07-21 00:38:57</t>
  </si>
  <si>
    <t>2026-07-21 12:15:25</t>
  </si>
  <si>
    <t>5233242-28281</t>
  </si>
  <si>
    <t>58084954898696*1
45407589237000*1</t>
  </si>
  <si>
    <t>Thomas Morel</t>
  </si>
  <si>
    <t>5Y00595597138</t>
  </si>
  <si>
    <t xml:space="preserve">5, impasse de la gare </t>
  </si>
  <si>
    <t>2026-07-21 01:10:00</t>
  </si>
  <si>
    <t>2026-07-28 06:24:28</t>
  </si>
  <si>
    <t>5233242-28282</t>
  </si>
  <si>
    <t>4 mines*1
2 Gomme *1
 6 mines*1
 Crayon*1
Gravure Personnalisée*1</t>
  </si>
  <si>
    <t>4 mines rechargeables
2 gommes-capuchons Shield - Noir | Pack de 2 gommes
🎁 Mines colorées (100% off) - Pack de 6 mines | 36% d'économie
Le Crayon Intemporel - Aluminium
Gravure Personnalisée</t>
  </si>
  <si>
    <t>CELINE de Carvalho</t>
  </si>
  <si>
    <t>6A07261949031</t>
  </si>
  <si>
    <t xml:space="preserve">16 Rue Du Gué </t>
  </si>
  <si>
    <t>2026-07-21 03:08:24</t>
  </si>
  <si>
    <t>2026-07-23 12:49:17</t>
  </si>
  <si>
    <t>5233242-28283</t>
  </si>
  <si>
    <t>Le Crayon Intemporel - Nuit
Gravure Personnalisée
Le Crayon Intemporel - Obsidienne
Gravure Personnalisée
🎁 Mines colorées (100% off) - Pack de 6 mines | 36% d'économie
Le Crayon Intemporel - Carmin
Gravure Personnalisée</t>
  </si>
  <si>
    <t>Pierre-Marc Augrand</t>
  </si>
  <si>
    <t>6A07263540663</t>
  </si>
  <si>
    <t xml:space="preserve">13 rue du petit coursol </t>
  </si>
  <si>
    <t>2026-07-21 03:22:08</t>
  </si>
  <si>
    <t>2026-07-23 12:49:19</t>
  </si>
  <si>
    <t>5233242-28284</t>
  </si>
  <si>
    <t>58084954898696*1
45242109231368*1</t>
  </si>
  <si>
    <t>Lilou PARMENTIER</t>
  </si>
  <si>
    <t>5Y00595516498</t>
  </si>
  <si>
    <t xml:space="preserve">527 rue de mondragon </t>
  </si>
  <si>
    <t>2026-07-21 04:20:13</t>
  </si>
  <si>
    <t>2026-07-28 06:24:29</t>
  </si>
  <si>
    <t>5233242-28285</t>
  </si>
  <si>
    <t>Guy Quintois</t>
  </si>
  <si>
    <t>6A07261949048</t>
  </si>
  <si>
    <t xml:space="preserve">31 Allée Des renoncules </t>
  </si>
  <si>
    <t>2026-07-21 04:35:39</t>
  </si>
  <si>
    <t>2026-07-23 12:49:21</t>
  </si>
  <si>
    <t>5233242-28286</t>
  </si>
  <si>
    <t>58195854557448*1
58084954898696*1
45242109395208*1</t>
  </si>
  <si>
    <t>5Y00595516467</t>
  </si>
  <si>
    <t>2026-07-21 04:37:24</t>
  </si>
  <si>
    <t>2026-07-28 06:24:31</t>
  </si>
  <si>
    <t>5233242-28287</t>
  </si>
  <si>
    <t>4 mines*1
Crayon*1
 6 mines*1</t>
  </si>
  <si>
    <t>4 mines rechargeables
Le Crayon Intemporel - Carmin
🎁 Mines colorées (100% off) - Pack de 6 mines | 36% d'économie</t>
  </si>
  <si>
    <t>matheo sornay</t>
  </si>
  <si>
    <t>6A07261949055</t>
  </si>
  <si>
    <t xml:space="preserve">2 La Croix Du Moulin </t>
  </si>
  <si>
    <t>2026-07-21 04:48:31</t>
  </si>
  <si>
    <t>2026-07-21 12:15:26</t>
  </si>
  <si>
    <t>5233242-28288</t>
  </si>
  <si>
    <t>4 mines*1
Crayon*1
Gravure Personnalisée*1
Crayon*1
Gravure Personnalisée*1
2 Gomme *1
 6 mines*1
Crayon*1
Gravure Personnalisée*1
Coffret Cadeau*1</t>
  </si>
  <si>
    <t>4 mines rechargeables
Le Crayon Intemporel - Carmin
Gravure Personnalisée
Le Crayon Intemporel - Carmin
Gravure Personnalisée
2 gommes-capuchons Shield - Noir | Pack de 2 gommes
🎁 Mines colorées (100% off) - Pack de 6 mines | 36% d'économie
Le Crayon Intemporel - Carmin
Gravure Personnalisée
Coffret Cadeau</t>
  </si>
  <si>
    <t>Aurélie Rouaud</t>
  </si>
  <si>
    <t>6A07263540694</t>
  </si>
  <si>
    <t xml:space="preserve">7 Rue de la Croix Rouge </t>
  </si>
  <si>
    <t>2026-07-21 05:02:20</t>
  </si>
  <si>
    <t>2026-07-23 12:49:23</t>
  </si>
  <si>
    <t>5233242-28289</t>
  </si>
  <si>
    <t>2 Gomme *2
12 mines*1
Crayon*1
Crayon*1
 6 mines*1
Crayon*1</t>
  </si>
  <si>
    <t>2 gommes-capuchons Shield - Noir | Pack de 2 gommes
Mines colorées - Pack de 12 mines | 47% d'économie
Le Crayon Intemporel - Nuit
Le Crayon Intemporel - Carmin
🎁 Mines colorées (100% off) - Pack de 6 mines | 36% d'économie
Le Crayon Intemporel - Obsidienne</t>
  </si>
  <si>
    <t>Carole Henry de Diesbach</t>
  </si>
  <si>
    <t>YT2620200701126155</t>
  </si>
  <si>
    <t xml:space="preserve">Rue de Lausanne 67 </t>
  </si>
  <si>
    <t>2026-07-21 05:20:57</t>
  </si>
  <si>
    <t>2026-07-21 12:25:46</t>
  </si>
  <si>
    <t>5233242-28290</t>
  </si>
  <si>
    <t>4 mines*1
Crayon*1
Crayon*1
2 Gomme *1
 6 mines*1
Crayon*1
Gravure Personnalisée*1</t>
  </si>
  <si>
    <t>4 mines rechargeables
Le Crayon Intemporel - Jade
Le Crayon Intemporel - Obsidienne
2 gommes-capuchons Shield - Noir | Pack de 2 gommes
🎁 Mines colorées (100% off) - Pack de 6 mines | 36% d'économie
Le Crayon Intemporel - Carmin
Gravure Personnalisée</t>
  </si>
  <si>
    <t>Tatiana Guignard</t>
  </si>
  <si>
    <t>6A07261949079</t>
  </si>
  <si>
    <t xml:space="preserve">3 La Croix Bertaud </t>
  </si>
  <si>
    <t>2026-07-21 05:29:31</t>
  </si>
  <si>
    <t>2026-07-23 12:49:25</t>
  </si>
  <si>
    <t>5233242-28291</t>
  </si>
  <si>
    <t>Crayon*1
Crayon*1
Crayon*1
 6 mines*1</t>
  </si>
  <si>
    <t>Le Crayon Intemporel - Nuit
Le Crayon Intemporel - Obsidienne
Le Crayon Intemporel - Carmin
🎁 Mines colorées (100% off) - Pack de 6 mines | 36% d'économie</t>
  </si>
  <si>
    <t>Christopher Andre</t>
  </si>
  <si>
    <t>7321315917575718</t>
  </si>
  <si>
    <t xml:space="preserve">900 Rue Guérin </t>
  </si>
  <si>
    <t>2026-07-21 06:15:01</t>
  </si>
  <si>
    <t>5233242-28292</t>
  </si>
  <si>
    <t>45407586615560*1
58084954898696*1
45242109395208*1</t>
  </si>
  <si>
    <t>Emmanuelle Jacquier</t>
  </si>
  <si>
    <t>5Y00595596698</t>
  </si>
  <si>
    <t>5 Avenue de Concise Immeuble le Porthos</t>
  </si>
  <si>
    <t>2026-07-21 06:15:11</t>
  </si>
  <si>
    <t>2026-07-28 06:24:32</t>
  </si>
  <si>
    <t>5233242-28293</t>
  </si>
  <si>
    <t>2 Gomme *1
4 mines*1
 Crayon*1
Crayon*1
 6 mines*1
Crayon*1</t>
  </si>
  <si>
    <t>2 gommes-capuchons Shield - Noir | Pack de 2 gommes
4 mines rechargeables
Le Crayon Intemporel - Aluminium
Le Crayon Intemporel - Jade
🎁 Mines colorées (100% off) - Pack de 6 mines | 36% d'économie
Le Crayon Intemporel - Nuit</t>
  </si>
  <si>
    <t>Eva Yague Perez</t>
  </si>
  <si>
    <t>LX087539811NL</t>
  </si>
  <si>
    <t xml:space="preserve">13 Rue De Lenningen </t>
  </si>
  <si>
    <t>2026-07-21 06:24:08</t>
  </si>
  <si>
    <t>5233242-28294</t>
  </si>
  <si>
    <t>Le Crayon Intemporel - Saturne
Le Crayon Intemporel - Carmin
🎁 Mines colorées (100% off) - Pack de 6 mines | 36% d'économie
Le Crayon Intemporel - Aluminium</t>
  </si>
  <si>
    <t>Julien Galio</t>
  </si>
  <si>
    <t>6A07261949086</t>
  </si>
  <si>
    <t>12 Rue St-Exupéry Apparemment 11</t>
  </si>
  <si>
    <t>2026-07-21 06:44:33</t>
  </si>
  <si>
    <t>2026-07-21 12:15:27</t>
  </si>
  <si>
    <t>5233242-28295</t>
  </si>
  <si>
    <t>Coffret Cadeau*1
2 Gomme *1
 6 mines*1
Crayon*1</t>
  </si>
  <si>
    <t>Coffret Cadeau
2 gommes-capuchons Shield - Noir | Pack de 2 gommes
🎁 Mines colorées (100% off) - Pack de 6 mines | 36% d'économie
Le Crayon Intemporel - Nuit</t>
  </si>
  <si>
    <t>Zavier Lhaute</t>
  </si>
  <si>
    <t>6A07261952628</t>
  </si>
  <si>
    <t>2 Rue des Tritons Résidence Vélodrome, Appt 216</t>
  </si>
  <si>
    <t>2026-07-21 07:06:30</t>
  </si>
  <si>
    <t>2026-07-21 12:15:28</t>
  </si>
  <si>
    <t>5233242-28296</t>
  </si>
  <si>
    <t>2 gommes-capuchons Shield - Noir | Pack de 2 gommes
🎁 Mines colorées (100% off) - Pack de 6 mines | 36% d'économie
Le Crayon Intemporel - Obsidienne
Gravure Personnalisée</t>
  </si>
  <si>
    <t>Michel Batha</t>
  </si>
  <si>
    <t>LD798400619BE</t>
  </si>
  <si>
    <t>7.21订单28263-28296需雕刻的铅笔已经统计</t>
  </si>
  <si>
    <t xml:space="preserve">Rue Montgoméry 76 </t>
  </si>
  <si>
    <t>2026-07-21 09:04:21</t>
  </si>
  <si>
    <t>5233242-28297</t>
  </si>
  <si>
    <t>2 Gomme *1
 6 mines*1
Crayon*2
Crayon*1</t>
  </si>
  <si>
    <t>2 gommes-capuchons Shield - Noir | Pack de 2 gommes
🎁 Mines colorées (100% off) - Pack de 6 mines | 36% d'économie
Le Crayon Intemporel - Obsidienne
Le Crayon Intemporel - Obsidienne</t>
  </si>
  <si>
    <t>Senne La Mela</t>
  </si>
  <si>
    <t>LD798400256BE</t>
  </si>
  <si>
    <t xml:space="preserve">Rue de la Révision 60 </t>
  </si>
  <si>
    <t>2026-07-21 10:45:32</t>
  </si>
  <si>
    <t>2026-07-23 12:33:06</t>
  </si>
  <si>
    <t>5233242-28298</t>
  </si>
  <si>
    <t>45407586615560*1
58195854557448*1
45242109329672*1
58084954898696*1
45242109231368*1</t>
  </si>
  <si>
    <t>4 mines rechargeables
2 gommes-capuchons Shield - Noir | Pack de 2 gommes
Le Crayon Intemporel - Carmin
🎁 Mines colorées (100% off) - Pack de 6 mines | 36% d'économie
Le Crayon Intemporel - Obsidienne</t>
  </si>
  <si>
    <t>Christophe RUEFF</t>
  </si>
  <si>
    <t>'875001557396821</t>
  </si>
  <si>
    <t xml:space="preserve">17 rue des chasseurs </t>
  </si>
  <si>
    <t>2026-07-21 14:31:50</t>
  </si>
  <si>
    <t>2026-07-28 07:02:24</t>
  </si>
  <si>
    <t>5233242-28299</t>
  </si>
  <si>
    <t>Anne Zoller</t>
  </si>
  <si>
    <t>6A07267795106</t>
  </si>
  <si>
    <t xml:space="preserve">28 Rue St-Symphorien </t>
  </si>
  <si>
    <t>2026-07-21 14:45:31</t>
  </si>
  <si>
    <t>2026-07-24 13:29:34</t>
  </si>
  <si>
    <t>5233242-28300</t>
  </si>
  <si>
    <t>58084954898696*1
45407586615560*1</t>
  </si>
  <si>
    <t>🎁 Mines colorées (100% off) - Pack de 6 mines | 36% d'économie
4 mines rechargeables</t>
  </si>
  <si>
    <t>87500155739219E</t>
  </si>
  <si>
    <t>2026-07-21 15:11:45</t>
  </si>
  <si>
    <t>2026-07-28 07:02:25</t>
  </si>
  <si>
    <t>5233242-28301</t>
  </si>
  <si>
    <t>Crayon*1
Crayon*1
Gravure Personnalisée*1
2 Gomme *1
 6 mines*1
Crayon*1
Gravure Personnalisée*1</t>
  </si>
  <si>
    <t>Le Crayon Intemporel - Saturne
Le Crayon Intemporel - Saturne
Gravure Personnalisée
2 gommes-capuchons Shield - Noir | Pack de 2 gommes
🎁 Mines colorées (100% off) - Pack de 6 mines | 36% d'économie
Le Crayon Intemporel - Saturne
Gravure Personnalisée</t>
  </si>
  <si>
    <t>Pierret Katleen</t>
  </si>
  <si>
    <t>6A07266205538</t>
  </si>
  <si>
    <t xml:space="preserve">70 Rue Des Treilles </t>
  </si>
  <si>
    <t>2026-07-21 15:18:00</t>
  </si>
  <si>
    <t>2026-07-24 13:29:36</t>
  </si>
  <si>
    <t>5233242-28302</t>
  </si>
  <si>
    <t>45242109329672*1
45242109395208*1
58195854557448*1
45407586615560*1
58084954898696*1
45242109296904*1</t>
  </si>
  <si>
    <t>Le Crayon Intemporel - Carmin
Le Crayon Intemporel - Nuit
2 gommes-capuchons Shield - Noir | Pack de 2 gommes
4 mines rechargeables
🎁 Mines colorées (100% off) - Pack de 6 mines | 36% d'économie
Le Crayon Intemporel - Saturne</t>
  </si>
  <si>
    <t>Nathalie Blaireau</t>
  </si>
  <si>
    <t>87500155738797W</t>
  </si>
  <si>
    <t>3 Rue De La Fontaine .</t>
  </si>
  <si>
    <t>2026-07-21 15:18:22</t>
  </si>
  <si>
    <t>2026-07-28 07:02:26</t>
  </si>
  <si>
    <t>5233242-28303</t>
  </si>
  <si>
    <t>45407586615560*1
45242109231368*1
58084954898696*1</t>
  </si>
  <si>
    <t>4 mines rechargeables
Le Crayon Intemporel - Obsidienne
🎁 Mines colorées (100% off) - Pack de 6 mines | 36% d'économie</t>
  </si>
  <si>
    <t>juliette durand</t>
  </si>
  <si>
    <t>'875001555383648</t>
  </si>
  <si>
    <t>450 chemin de la bruyere</t>
  </si>
  <si>
    <t>2026-07-21 15:19:50</t>
  </si>
  <si>
    <t>2026-07-28 07:02:27</t>
  </si>
  <si>
    <t>5233242-28304</t>
  </si>
  <si>
    <t>2 Gomme *1
4 mines*1
 6 mines*1
Crayon*1
Gravure Personnalisée*1
Crayon*2</t>
  </si>
  <si>
    <t>2 gommes-capuchons Shield - Noir | Pack de 2 gommes
4 mines rechargeables
🎁 Mines colorées (100% off) - Pack de 6 mines | 36% d'économie
Le Crayon Intemporel - Obsidienne
Gravure Personnalisée
Le Crayon Intemporel - Obsidienne</t>
  </si>
  <si>
    <t>Tiffaine Borie</t>
  </si>
  <si>
    <t>6A07268595323</t>
  </si>
  <si>
    <t xml:space="preserve">1 Place du Charme </t>
  </si>
  <si>
    <t>2026-07-21 15:40:56</t>
  </si>
  <si>
    <t>2026-07-24 13:59:19</t>
  </si>
  <si>
    <t>5233242-28305</t>
  </si>
  <si>
    <t>57754101055752*1
45407586615560*1
45242109395208*1
58195854557448*1
45242109231368*1
58084954898696*1
45407589237000*1</t>
  </si>
  <si>
    <t>Mines colorées - Pack de 12 mines | 47% d'économie
4 mines rechargeables
Le Crayon Intemporel - Nuit
2 gommes-capuchons Shield - Noir | Pack de 2 gommes
Le Crayon Intemporel - Obsidienne
🎁 Mines colorées (100% off) - Pack de 6 mines | 36% d'économie
Le Crayon Intemporel - Aluminium</t>
  </si>
  <si>
    <t>Anne-Lise Illy</t>
  </si>
  <si>
    <t>87500155537861N</t>
  </si>
  <si>
    <t xml:space="preserve">3 Rue des Trois Frontières </t>
  </si>
  <si>
    <t>2026-07-21 15:45:02</t>
  </si>
  <si>
    <t>2026-07-28 07:02:29</t>
  </si>
  <si>
    <t>5233242-28306</t>
  </si>
  <si>
    <t>45242109395208*1
45242109231368*1
58084954898696*1
45242109329672*1</t>
  </si>
  <si>
    <t>Le Crayon Intemporel - Nuit
Le Crayon Intemporel - Obsidienne
🎁 Mines colorées (100% off) - Pack de 6 mines | 36% d'économie
Le Crayon Intemporel - Carmin</t>
  </si>
  <si>
    <t>Pascal Bouton</t>
  </si>
  <si>
    <t>87500155537275Q</t>
  </si>
  <si>
    <t xml:space="preserve">5 rue Michel Dubois </t>
  </si>
  <si>
    <t>2026-07-21 15:45:36</t>
  </si>
  <si>
    <t>2026-07-28 07:02:30</t>
  </si>
  <si>
    <t>5233242-28307</t>
  </si>
  <si>
    <t>Crayon*1
Crayon*1
2 Gomme *1
4 mines*1
 6 mines*1
Crayon*1</t>
  </si>
  <si>
    <t>Le Crayon Intemporel - Obsidienne
Le Crayon Intemporel - Saturne
2 gommes-capuchons Shield - Noir | Pack de 2 gommes
4 mines rechargeables
🎁 Mines colorées (100% off) - Pack de 6 mines | 36% d'économie
Le Crayon Intemporel - Nuit</t>
  </si>
  <si>
    <t>Jean-Thomas Cock</t>
  </si>
  <si>
    <t>LD798400432BE</t>
  </si>
  <si>
    <t xml:space="preserve">Avenue des Cactus 17 </t>
  </si>
  <si>
    <t>2026-07-21 16:00:22</t>
  </si>
  <si>
    <t>5233242-28308</t>
  </si>
  <si>
    <t>🎁 Mines colorées (100% off) - Pack de 6 mines | 36% d'économie
Le Crayon Intemporel - Nuit
Gravure Personnalisée
Coffret Cadeau</t>
  </si>
  <si>
    <t>Gilles Donnet-Monay</t>
  </si>
  <si>
    <t>YT2620500704617914</t>
  </si>
  <si>
    <t xml:space="preserve">route de Chenarlier 24a </t>
  </si>
  <si>
    <t>2026-07-21 16:17:42</t>
  </si>
  <si>
    <t>2026-07-24 13:45:59</t>
  </si>
  <si>
    <t>5233242-28309</t>
  </si>
  <si>
    <t>Myriam BALENO</t>
  </si>
  <si>
    <t>'875001555533315</t>
  </si>
  <si>
    <t xml:space="preserve">1140, Route des Rosières </t>
  </si>
  <si>
    <t>2026-07-21 16:26:42</t>
  </si>
  <si>
    <t>2026-07-28 07:02:31</t>
  </si>
  <si>
    <t>5233242-28310</t>
  </si>
  <si>
    <t>58195854557448*1
58084954898696*1
45407589237000*1</t>
  </si>
  <si>
    <t>2 gommes-capuchons Shield - Noir | Pack de 2 gommes
🎁 Mines colorées (100% off) - Pack de 6 mines | 36% d'économie
Le Crayon Intemporel - Aluminium</t>
  </si>
  <si>
    <t>Pierre VOIZEUX</t>
  </si>
  <si>
    <t>87500155536043Z</t>
  </si>
  <si>
    <t>3 Boulevard Sévigné Batiment B</t>
  </si>
  <si>
    <t>2026-07-21 16:36:59</t>
  </si>
  <si>
    <t>2026-07-28 07:02:32</t>
  </si>
  <si>
    <t>5233242-28311</t>
  </si>
  <si>
    <t>45242109329672*1
45407586615560*1
58195854557448*1
58084954898696*1</t>
  </si>
  <si>
    <t>Le Crayon Intemporel - Carmin
4 mines rechargeables
2 gommes-capuchons Shield - Noir | Pack de 2 gommes
🎁 Mines colorées (100% off) - Pack de 6 mines | 36% d'économie</t>
  </si>
  <si>
    <t>Stéphane Dehon</t>
  </si>
  <si>
    <t>87500155552416B</t>
  </si>
  <si>
    <t xml:space="preserve">184 boulevard gambetta </t>
  </si>
  <si>
    <t>2026-07-21 16:52:55</t>
  </si>
  <si>
    <t>2026-07-28 07:02:33</t>
  </si>
  <si>
    <t>5233242-28312</t>
  </si>
  <si>
    <t>58084954898696*1
45242109231368*2
45242109231368*1</t>
  </si>
  <si>
    <t>Adrien Filet</t>
  </si>
  <si>
    <t>'875001555516195</t>
  </si>
  <si>
    <t xml:space="preserve">79 Rue du Mesnil Halot </t>
  </si>
  <si>
    <t>2026-07-21 16:54:17</t>
  </si>
  <si>
    <t>2026-07-28 07:02:35</t>
  </si>
  <si>
    <t>5233242-28313</t>
  </si>
  <si>
    <t>58195854557448*1
58084954898696*1
45242109231368*2
45242109231368*1</t>
  </si>
  <si>
    <t>Emmanuelle DUCERE</t>
  </si>
  <si>
    <t>875001555340129</t>
  </si>
  <si>
    <t xml:space="preserve">80 Rue Balard </t>
  </si>
  <si>
    <t>2026-07-21 16:57:01</t>
  </si>
  <si>
    <t>2026-07-28 07:02:36</t>
  </si>
  <si>
    <t>5233242-28314</t>
  </si>
  <si>
    <t>Adrian Perera</t>
  </si>
  <si>
    <t>YT2620500704618003</t>
  </si>
  <si>
    <t xml:space="preserve">Rue de la Poste 2 </t>
  </si>
  <si>
    <t>2026-07-21 17:01:41</t>
  </si>
  <si>
    <t>2026-07-24 13:46:01</t>
  </si>
  <si>
    <t>5233242-28315</t>
  </si>
  <si>
    <t>Julie BARBIER ESNAULT</t>
  </si>
  <si>
    <t>6A07283768016</t>
  </si>
  <si>
    <t xml:space="preserve">280 Route de Larroque </t>
  </si>
  <si>
    <t>2026-07-21 17:51:07</t>
  </si>
  <si>
    <t>2026-07-24 13:29:39</t>
  </si>
  <si>
    <t>5233242-28316</t>
  </si>
  <si>
    <t>Coffret Cadeau
2 gommes-capuchons Shield - Noir | Pack de 2 gommes
🎁 Mines colorées (100% off) - Pack de 6 mines | 36% d'économie
Le Crayon Intemporel - Carmin</t>
  </si>
  <si>
    <t>Khalid Chari</t>
  </si>
  <si>
    <t>LD798400605BE</t>
  </si>
  <si>
    <t xml:space="preserve">Zavelstraat 86 </t>
  </si>
  <si>
    <t>2026-07-21 17:52:41</t>
  </si>
  <si>
    <t>5233242-28317</t>
  </si>
  <si>
    <t>58084954898696*1
57754101055752*1</t>
  </si>
  <si>
    <t>🎁 Mines colorées (100% off) - Pack de 6 mines | 36% d'économie
Mines colorées - Pack de 12 mines | 47% d'économie</t>
  </si>
  <si>
    <t>Marlène Quétron</t>
  </si>
  <si>
    <t>87500155550548J</t>
  </si>
  <si>
    <t xml:space="preserve">19 Chemin de l'Ousteau de Haut </t>
  </si>
  <si>
    <t>2026-07-21 18:04:25</t>
  </si>
  <si>
    <t>2026-07-28 07:02:37</t>
  </si>
  <si>
    <t>5233242-28318</t>
  </si>
  <si>
    <t xml:space="preserve"> 6 mines*1
Crayon*2
Gravure Personnalisée*2
Coffret Cadeau*2</t>
  </si>
  <si>
    <t>🎁 Mines colorées (100% off) - Pack de 6 mines | 36% d'économie
Le Crayon Intemporel - Carmin
Gravure Personnalisée
Coffret Cadeau</t>
  </si>
  <si>
    <t>Valérie Esposito</t>
  </si>
  <si>
    <t>6A07277372311</t>
  </si>
  <si>
    <t xml:space="preserve">1355 Avenue Des Collines </t>
  </si>
  <si>
    <t>2026-07-21 18:08:27</t>
  </si>
  <si>
    <t>2026-07-24 13:29:41</t>
  </si>
  <si>
    <t>5233242-28319</t>
  </si>
  <si>
    <t>45407589237000*1
58084954898696*1
45407586615560*1</t>
  </si>
  <si>
    <t>Le Crayon Intemporel - Aluminium
🎁 Mines colorées (100% off) - Pack de 6 mines | 36% d'économie
4 mines rechargeables</t>
  </si>
  <si>
    <t>Tristan schoonbaert</t>
  </si>
  <si>
    <t>87500155550136M</t>
  </si>
  <si>
    <t xml:space="preserve">2 Rue Violette Szabo </t>
  </si>
  <si>
    <t>2026-07-21 18:10:51</t>
  </si>
  <si>
    <t>2026-07-28 07:02:38</t>
  </si>
  <si>
    <t>5233242-28320</t>
  </si>
  <si>
    <t>45407586615560*2
58084954898696*1
45242109395208*1</t>
  </si>
  <si>
    <t>Renaud Aoustet</t>
  </si>
  <si>
    <t>87500155549712I</t>
  </si>
  <si>
    <t xml:space="preserve">4 Impasse des Jardins </t>
  </si>
  <si>
    <t>2026-07-21 18:31:46</t>
  </si>
  <si>
    <t>2026-07-28 07:02:39</t>
  </si>
  <si>
    <t>5233242-28321</t>
  </si>
  <si>
    <t>58195854557448*1
45407586615560*1
45242109395208*1
45407589237000*1
58084954898696*1
45242109231368*1</t>
  </si>
  <si>
    <t>2 gommes-capuchons Shield - Noir | Pack de 2 gommes
4 mines rechargeables
Le Crayon Intemporel - Nuit
Le Crayon Intemporel - Aluminium
🎁 Mines colorées (100% off) - Pack de 6 mines | 36% d'économie
Le Crayon Intemporel - Obsidienne</t>
  </si>
  <si>
    <t>Sardar Azimov</t>
  </si>
  <si>
    <t>'875001555492429</t>
  </si>
  <si>
    <t xml:space="preserve">37 Avenue de Bénéfiat </t>
  </si>
  <si>
    <t>2026-07-21 18:35:37</t>
  </si>
  <si>
    <t>2026-07-28 07:02:40</t>
  </si>
  <si>
    <t>5233242-28322</t>
  </si>
  <si>
    <t xml:space="preserve"> 6 mines*1
 Crayon*1
Gravure Personnalisée*1
Coffret Cadeau*1</t>
  </si>
  <si>
    <t>🎁 Mines colorées (100% off) - Pack de 6 mines | 36% d'économie
Le Crayon Intemporel - Aluminium
Gravure Personnalisée
Coffret Cadeau</t>
  </si>
  <si>
    <t>Adeline Sandoz</t>
  </si>
  <si>
    <t>6A07277372328</t>
  </si>
  <si>
    <t xml:space="preserve">31 Rue Joseph Montravers </t>
  </si>
  <si>
    <t>2026-07-21 18:45:18</t>
  </si>
  <si>
    <t>2026-07-24 13:29:42</t>
  </si>
  <si>
    <t>5233242-28323</t>
  </si>
  <si>
    <t>57754101055752*1</t>
  </si>
  <si>
    <t>Mines colorées - Pack de 12 mines | 47% d'économie</t>
  </si>
  <si>
    <t>Cassandre Franco</t>
  </si>
  <si>
    <t>87500155531193B</t>
  </si>
  <si>
    <t xml:space="preserve">56 Rue des Fourasses </t>
  </si>
  <si>
    <t>2026-07-21 18:57:21</t>
  </si>
  <si>
    <t>2026-07-28 07:02:42</t>
  </si>
  <si>
    <t>5233242-28324</t>
  </si>
  <si>
    <t>Valentin De Smet</t>
  </si>
  <si>
    <t>87500155530828U</t>
  </si>
  <si>
    <t xml:space="preserve">7 Rue Henri Jovenaux </t>
  </si>
  <si>
    <t>2026-07-21 19:01:56</t>
  </si>
  <si>
    <t>2026-07-28 07:02:43</t>
  </si>
  <si>
    <t>5233242-28325</t>
  </si>
  <si>
    <t>45242109329672*1
58084954898696*1</t>
  </si>
  <si>
    <t>Marjorie Loriot</t>
  </si>
  <si>
    <t>'875001555477350</t>
  </si>
  <si>
    <t xml:space="preserve">45 Rue Émile Berthier </t>
  </si>
  <si>
    <t>2026-07-21 19:07:49</t>
  </si>
  <si>
    <t>2026-07-28 07:02:44</t>
  </si>
  <si>
    <t>5233242-28326</t>
  </si>
  <si>
    <t>Crayon*1
Gravure Personnalisée*1
Coffret Cadeau*1
Crayon*1
Gravure Personnalisée*1
Coffret Cadeau*1
 6 mines*1
Crayon*1
Gravure Personnalisée*1
Coffret Cadeau*1
6 mines*1</t>
  </si>
  <si>
    <t>Le Crayon Intemporel - Nuit
Gravure Personnalisée
Coffret Cadeau
Le Crayon Intemporel - Carmin
Gravure Personnalisée
Coffret Cadeau
🎁 Mines colorées (100% off) - Pack de 6 mines | 36% d'économie
Le Crayon Intemporel - Carmin
Gravure Personnalisée
Coffret Cadeau
Mines colorées - Pack de 6 mines | 36% d'économie</t>
  </si>
  <si>
    <t>MAXIME CERRUTI</t>
  </si>
  <si>
    <t>6A07277372335</t>
  </si>
  <si>
    <t xml:space="preserve">3 Rue Friant </t>
  </si>
  <si>
    <t>2026-07-21 19:19:25</t>
  </si>
  <si>
    <t>2026-07-24 13:29:45</t>
  </si>
  <si>
    <t>5233242-28327</t>
  </si>
  <si>
    <t>2 gommes-capuchons Shield - Noir | Pack de 2 gommes
🎁 Mines colorées (100% off) - Pack de 6 mines | 36% d'économie
Le Crayon Intemporel - Obsidienne</t>
  </si>
  <si>
    <t>Julie Rheme</t>
  </si>
  <si>
    <t>YT2620400701249706</t>
  </si>
  <si>
    <t xml:space="preserve">Chemin Du Vieux Pressoir 3 </t>
  </si>
  <si>
    <t>2026-07-21 19:23:13</t>
  </si>
  <si>
    <t>2026-07-23 12:33:08</t>
  </si>
  <si>
    <t>5233242-28328</t>
  </si>
  <si>
    <t>marie voeffray</t>
  </si>
  <si>
    <t>YT2620400701048637</t>
  </si>
  <si>
    <t xml:space="preserve">Route de l'Abbaye 36 </t>
  </si>
  <si>
    <t>2026-07-21 19:24:52</t>
  </si>
  <si>
    <t>2026-07-23 12:33:09</t>
  </si>
  <si>
    <t>5233242-28329</t>
  </si>
  <si>
    <t>58195854557448*1
58084954898696*1
45242109329672*1</t>
  </si>
  <si>
    <t>2 gommes-capuchons Shield - Noir | Pack de 2 gommes
🎁 Mines colorées (100% off) - Pack de 6 mines | 36% d'économie
Le Crayon Intemporel - Carmin</t>
  </si>
  <si>
    <t>Alexis Terrillon</t>
  </si>
  <si>
    <t>'875001555473352</t>
  </si>
  <si>
    <t>10 Rue De L’église Appartement 13</t>
  </si>
  <si>
    <t>2026-07-21 19:35:54</t>
  </si>
  <si>
    <t>2026-07-28 07:02:45</t>
  </si>
  <si>
    <t>5233242-28330</t>
  </si>
  <si>
    <t>45407586615560*1
58195854557448*1
58084954898696*1
45242109231368*2
45242109231368*1</t>
  </si>
  <si>
    <t>4 mines rechargeables
2 gommes-capuchons Shield - Noir | Pack de 2 gommes
🎁 Mines colorées (100% off) - Pack de 6 mines | 36% d'économie
Le Crayon Intemporel - Obsidienne
Le Crayon Intemporel - Obsidienne</t>
  </si>
  <si>
    <t>Alain BARD</t>
  </si>
  <si>
    <t>87500155546642T</t>
  </si>
  <si>
    <t xml:space="preserve">29 Lotissement Les Magnolias </t>
  </si>
  <si>
    <t>2026-07-21 19:42:47</t>
  </si>
  <si>
    <t>2026-07-28 07:02:46</t>
  </si>
  <si>
    <t>5233242-28331</t>
  </si>
  <si>
    <t>Ange Dornel</t>
  </si>
  <si>
    <t>'875001555459497</t>
  </si>
  <si>
    <t xml:space="preserve">149 Rue Edouard Maury </t>
  </si>
  <si>
    <t>2026-07-21 19:51:47</t>
  </si>
  <si>
    <t>2026-07-28 07:02:47</t>
  </si>
  <si>
    <t>5233242-28332</t>
  </si>
  <si>
    <t>Crayon*1
Crayon*1
Gravure Personnalisée*1
Coffret Cadeau*1
 6 mines*1
Crayon*1
Gravure Personnalisée*1
Coffret Cadeau*1</t>
  </si>
  <si>
    <t>Le Crayon Intemporel - Nuit
Le Crayon Intemporel - Jade
Gravure Personnalisée
Coffret Cadeau
🎁 Mines colorées (100% off) - Pack de 6 mines | 36% d'économie
Le Crayon Intemporel - Carmin
Gravure Personnalisée
Coffret Cadeau</t>
  </si>
  <si>
    <t>Marie-May Regnard</t>
  </si>
  <si>
    <t>6A07283768030</t>
  </si>
  <si>
    <t xml:space="preserve">2 Chemin de Guérihuel </t>
  </si>
  <si>
    <t>2026-07-21 20:11:13</t>
  </si>
  <si>
    <t>2026-07-24 13:29:47</t>
  </si>
  <si>
    <t>5233242-28333</t>
  </si>
  <si>
    <t>2 Gomme *1
4 mines*1
Crayon*1
Gravure Personnalisée*1
Coffret Cadeau*1
 6 mines*1</t>
  </si>
  <si>
    <t>2 gommes-capuchons Shield - Noir | Pack de 2 gommes
4 mines rechargeables
Le Crayon Intemporel - Obsidienne
Gravure Personnalisée
Coffret Cadeau
🎁 Mines colorées (100% off) - Pack de 6 mines | 36% d'économie</t>
  </si>
  <si>
    <t>Paul-Auguste ZUGAJ</t>
  </si>
  <si>
    <t>6A07283768047</t>
  </si>
  <si>
    <t>5 Chemin de Dardagna Apparemment 3, bâtiment B "le Diderot"</t>
  </si>
  <si>
    <t>2026-07-21 20:20:08</t>
  </si>
  <si>
    <t>2026-07-24 13:29:49</t>
  </si>
  <si>
    <t>5233242-28334</t>
  </si>
  <si>
    <t>45242109264136*1
45242109296904*1
52838739738888*1
58195854557448*1
58084954898696*1
45242109329672*1
49624586256648*1</t>
  </si>
  <si>
    <t>Le Crayon Intemporel - Jade
Le Crayon Intemporel - Saturne
Coffret Cadeau
2 gommes-capuchons Shield - Noir | Pack de 2 gommes
🎁 Mines colorées (100% off) - Pack de 6 mines | 36% d'économie
Le Crayon Intemporel - Carmin
Mines colorées - Pack de 6 mines | 36% d'économie</t>
  </si>
  <si>
    <t>MF DODIER</t>
  </si>
  <si>
    <t>5Y00595601293</t>
  </si>
  <si>
    <t>5 Impasse du cavalier Salignac</t>
  </si>
  <si>
    <t>2026-07-21 20:28:21</t>
  </si>
  <si>
    <t>2026-07-28 07:02:48</t>
  </si>
  <si>
    <t>5233242-28335</t>
  </si>
  <si>
    <t>2 Gomme *1
4 mines*1
Crayon*2
Crayon*1
 6 mines*1</t>
  </si>
  <si>
    <t>2 gommes-capuchons Shield - Noir | Pack de 2 gommes
4 mines rechargeables
Le Crayon Intemporel - Nuit
Le Crayon Intemporel - Nuit
🎁 Mines colorées (100% off) - Pack de 6 mines | 36% d'économie</t>
  </si>
  <si>
    <t>maxime roussy</t>
  </si>
  <si>
    <t>2019317789588448</t>
  </si>
  <si>
    <t xml:space="preserve">12825 Rte Penney </t>
  </si>
  <si>
    <t>2026-07-21 20:44:24</t>
  </si>
  <si>
    <t>2026-07-23 12:33:10</t>
  </si>
  <si>
    <t>5233242-28336</t>
  </si>
  <si>
    <t>45407589237000*1
58084954898696*1</t>
  </si>
  <si>
    <t>Le Crayon Intemporel - Aluminium
🎁 Mines colorées (100% off) - Pack de 6 mines | 36% d'économie</t>
  </si>
  <si>
    <t>Kessie Hamel</t>
  </si>
  <si>
    <t>87500155545553E</t>
  </si>
  <si>
    <t xml:space="preserve">1 Rue du 21 Janvier </t>
  </si>
  <si>
    <t>2026-07-21 21:02:08</t>
  </si>
  <si>
    <t>2026-07-28 07:02:50</t>
  </si>
  <si>
    <t>5233242-28337</t>
  </si>
  <si>
    <t>45242109329672*1
58084954898696*1
58195854557448*1</t>
  </si>
  <si>
    <t>Le Crayon Intemporel - Carmin
🎁 Mines colorées (100% off) - Pack de 6 mines | 36% d'économie
2 gommes-capuchons Shield - Noir | Pack de 2 gommes</t>
  </si>
  <si>
    <t>Matthew Bonnefond</t>
  </si>
  <si>
    <t>'875001555451619</t>
  </si>
  <si>
    <t xml:space="preserve">81 Rue d'Antrain </t>
  </si>
  <si>
    <t>2026-07-21 21:25:09</t>
  </si>
  <si>
    <t>2026-07-28 07:02:51</t>
  </si>
  <si>
    <t>5233242-28338</t>
  </si>
  <si>
    <t>58084954898696*1
45242109395208*2</t>
  </si>
  <si>
    <t>Carine Cherin</t>
  </si>
  <si>
    <t>87500155526808B</t>
  </si>
  <si>
    <t xml:space="preserve">474 Chemin de la mairie </t>
  </si>
  <si>
    <t>2026-07-21 22:09:46</t>
  </si>
  <si>
    <t>2026-07-28 07:02:52</t>
  </si>
  <si>
    <t>5233242-28339</t>
  </si>
  <si>
    <t>Romeo Leonard</t>
  </si>
  <si>
    <t>'875001555443491</t>
  </si>
  <si>
    <t xml:space="preserve">729 Rte de Rocamadour </t>
  </si>
  <si>
    <t>2026-07-21 22:16:22</t>
  </si>
  <si>
    <t>2026-07-28 07:02:54</t>
  </si>
  <si>
    <t>5233242-28340</t>
  </si>
  <si>
    <t>58084954898696*1
45242109395208*2
45242109395208*1</t>
  </si>
  <si>
    <t>Peio Fournier</t>
  </si>
  <si>
    <t>87500155525917H</t>
  </si>
  <si>
    <t>1 rue de l'église Magasin leku ona</t>
  </si>
  <si>
    <t>2026-07-21 22:29:00</t>
  </si>
  <si>
    <t>2026-07-28 06:35:11</t>
  </si>
  <si>
    <t>5233242-28341</t>
  </si>
  <si>
    <t>Jonathan Boulestier</t>
  </si>
  <si>
    <t>6A07275774988</t>
  </si>
  <si>
    <t xml:space="preserve">1021 Route du Texier </t>
  </si>
  <si>
    <t>2026-07-21 23:47:38</t>
  </si>
  <si>
    <t>2026-07-29 11:33:35</t>
  </si>
  <si>
    <t>5233242-28342</t>
  </si>
  <si>
    <t>4 mines*1
Coffret Cadeau*1
2 Gomme *1
 6 mines*1
Crayon*1
Gravure Personnalisée*1
Coffret Cadeau*1</t>
  </si>
  <si>
    <t>4 mines rechargeables
Coffret Cadeau
2 gommes-capuchons Shield - Noir | Pack de 2 gommes
🎁 Mines colorées (100% off) - Pack de 6 mines | 36% d'économie
Le Crayon Intemporel - Obsidienne
Gravure Personnalisée
Coffret Cadeau</t>
  </si>
  <si>
    <t>Lionel Bordg</t>
  </si>
  <si>
    <t>LD798464177BE</t>
  </si>
  <si>
    <t xml:space="preserve">Avenue de l'Hippodrome 35 </t>
  </si>
  <si>
    <t>2026-07-21 23:59:11</t>
  </si>
  <si>
    <t>5233242-28343</t>
  </si>
  <si>
    <t>Lali Hubert</t>
  </si>
  <si>
    <t>87500155525122D</t>
  </si>
  <si>
    <t>14 Rue  Faidherbe 4</t>
  </si>
  <si>
    <t>2026-07-22 00:00:54</t>
  </si>
  <si>
    <t>2026-07-28 06:35:12</t>
  </si>
  <si>
    <t>5233242-28344</t>
  </si>
  <si>
    <t>Alexis HOYEZ</t>
  </si>
  <si>
    <t>87500155524391O</t>
  </si>
  <si>
    <t xml:space="preserve">2 Rue d'AY </t>
  </si>
  <si>
    <t>2026-07-22 00:21:18</t>
  </si>
  <si>
    <t>2026-07-28 06:35:13</t>
  </si>
  <si>
    <t>5233242-28345</t>
  </si>
  <si>
    <t>58195854557448*1
45407586615560*1
58084954898696*1
45242109395208*1</t>
  </si>
  <si>
    <t>2 gommes-capuchons Shield - Noir | Pack de 2 gommes
4 mines rechargeables
🎁 Mines colorées (100% off) - Pack de 6 mines | 36% d'économie
Le Crayon Intemporel - Nuit</t>
  </si>
  <si>
    <t>Dominique Felix</t>
  </si>
  <si>
    <t>87500155541977U</t>
  </si>
  <si>
    <t>3 allée du clos saint francois 2er</t>
  </si>
  <si>
    <t>2026-07-22 00:37:11</t>
  </si>
  <si>
    <t>2026-07-28 06:35:14</t>
  </si>
  <si>
    <t>5233242-28346</t>
  </si>
  <si>
    <t>Crayon*1
Crayon*1
Coffret Cadeau*1
Coffret Cadeau*1
 6 mines*1
Crayon*1
Gravure Personnalisée*1</t>
  </si>
  <si>
    <t>Le Crayon Intemporel - Obsidienne
Le Crayon Intemporel - Obsidienne
Coffret Cadeau
Coffret Cadeau
🎁 Mines colorées (100% off) - Pack de 6 mines | 36% d'économie
Le Crayon Intemporel - Obsidienne
Gravure Personnalisée</t>
  </si>
  <si>
    <t>Flavie Pellegrin</t>
  </si>
  <si>
    <t>6A07275774995</t>
  </si>
  <si>
    <t xml:space="preserve">38 Chemin du Bois Roux </t>
  </si>
  <si>
    <t>2026-07-22 00:42:19</t>
  </si>
  <si>
    <t>2026-07-24 13:29:51</t>
  </si>
  <si>
    <t>5233242-28347</t>
  </si>
  <si>
    <t>4 mines*1
2 Gomme *1
 6 mines*1
12 mines*1</t>
  </si>
  <si>
    <t>4 mines rechargeables
2 gommes-capuchons Shield - Noir | Pack de 2 gommes
🎁 Mines colorées (100% off) - Pack de 6 mines | 36% d'économie
Mines colorées - Pack de 12 mines | 47% d'économie</t>
  </si>
  <si>
    <t>Mathieu Bressoud</t>
  </si>
  <si>
    <t>YT2620400701249730</t>
  </si>
  <si>
    <t xml:space="preserve">Route de Bourgogne 48 </t>
  </si>
  <si>
    <t>2026-07-22 00:49:16</t>
  </si>
  <si>
    <t>2026-07-23 12:33:11</t>
  </si>
  <si>
    <t>5233242-28348</t>
  </si>
  <si>
    <t>45407586615560*1
45242109231368*2
45242109231368*1
57754101055752*1
58084954898696*1
58195854557448*2</t>
  </si>
  <si>
    <t>4 mines rechargeables
Le Crayon Intemporel - Obsidienne
Le Crayon Intemporel - Obsidienne
Mines colorées - Pack de 12 mines | 47% d'économie
🎁 Mines colorées (100% off) - Pack de 6 mines | 36% d'économie
2 gommes-capuchons Shield - Noir | Pack de 2 gommes</t>
  </si>
  <si>
    <t>Alexandre BERNIT</t>
  </si>
  <si>
    <t>87500155523228N</t>
  </si>
  <si>
    <t xml:space="preserve">4 Rue De Legnano </t>
  </si>
  <si>
    <t>2026-07-22 00:50:13</t>
  </si>
  <si>
    <t>2026-07-28 06:35:16</t>
  </si>
  <si>
    <t>5233242-28349</t>
  </si>
  <si>
    <t>12 mines*1
4 mines*1
2 Gomme *1
Carnet *1
 6 mines*1
Crayon*1
Gravure Personnalisée*1</t>
  </si>
  <si>
    <t>Mines colorées - Pack de 12 mines | 47% d'économie
4 mines rechargeables
2 gommes-capuchons Shield - Noir | Pack de 2 gommes
Le Carnet Parfait
🎁 Mines colorées (100% off) - Pack de 6 mines | 36% d'économie
Le Crayon Intemporel - Carmin
Gravure Personnalisée</t>
  </si>
  <si>
    <t>Pierre Baudrier</t>
  </si>
  <si>
    <t>6A07277372342</t>
  </si>
  <si>
    <t>17 Villa Frédéric Mistral 74 / 6eme Etage</t>
  </si>
  <si>
    <t>2026-07-22 00:57:02</t>
  </si>
  <si>
    <t>2026-07-24 13:29:53</t>
  </si>
  <si>
    <t>5233242-28350</t>
  </si>
  <si>
    <t>Le Crayon Intemporel - Saturne
Le Crayon Intemporel - Obsidienne
🎁 Mines colorées (100% off) - Pack de 6 mines | 36% d'économie
Le Crayon Intemporel - Carmin</t>
  </si>
  <si>
    <t>Thierry Abbet</t>
  </si>
  <si>
    <t>LW309606498CH</t>
  </si>
  <si>
    <t xml:space="preserve">Chavalard 52 </t>
  </si>
  <si>
    <t>2026-07-22 00:58:42</t>
  </si>
  <si>
    <t>5233242-28351</t>
  </si>
  <si>
    <t>Crayon*1
Crayon*1
Crayon*1
Crayon*1
2 Gomme *1
 6 mines*1
12 mines*1</t>
  </si>
  <si>
    <t>Le Crayon Intemporel - Saturne
Le Crayon Intemporel - Nuit
Le Crayon Intemporel - Carmin
Le Crayon Intemporel - Carmin
2 gommes-capuchons Shield - Noir | Pack de 2 gommes
🎁 Mines colorées (100% off) - Pack de 6 mines | 36% d'économie
Mines colorées - Pack de 12 mines | 47% d'économie</t>
  </si>
  <si>
    <t>Jean-Claude Bolay</t>
  </si>
  <si>
    <t>LW309606507CH</t>
  </si>
  <si>
    <t>Route de la Plaine 4b Appartement B1-305</t>
  </si>
  <si>
    <t>2026-07-22 01:02:51</t>
  </si>
  <si>
    <t>5233242-28352</t>
  </si>
  <si>
    <t>57754101055752*1
58274131771656*1
58084954898696*1
58195854557448*1</t>
  </si>
  <si>
    <t>Mines colorées - Pack de 12 mines | 47% d'économie
Le Carnet Parfait
🎁 Mines colorées (100% off) - Pack de 6 mines | 36% d'économie
2 gommes-capuchons Shield - Noir | Pack de 2 gommes</t>
  </si>
  <si>
    <t>Benoit PICHON</t>
  </si>
  <si>
    <t>5Y00595601286</t>
  </si>
  <si>
    <t>21 Rue des Cigarières Appt 7022</t>
  </si>
  <si>
    <t>2026-07-22 01:03:49</t>
  </si>
  <si>
    <t>2026-07-28 06:35:17</t>
  </si>
  <si>
    <t>5233242-28353</t>
  </si>
  <si>
    <t>58084954898696*1
45242109395208*1</t>
  </si>
  <si>
    <t>Clara Guerrier</t>
  </si>
  <si>
    <t>'875001555409062</t>
  </si>
  <si>
    <t>27 Rue Saint Ferdinand Bâtiment C</t>
  </si>
  <si>
    <t>2026-07-22 01:13:55</t>
  </si>
  <si>
    <t>2026-07-28 06:35:18</t>
  </si>
  <si>
    <t>5233242-28354</t>
  </si>
  <si>
    <t>45242109264136*1
58084954898696*1</t>
  </si>
  <si>
    <t>alice pennel</t>
  </si>
  <si>
    <t>87500155540354Y</t>
  </si>
  <si>
    <t xml:space="preserve">13 Rue de l'Eurie </t>
  </si>
  <si>
    <t>2026-07-22 01:27:13</t>
  </si>
  <si>
    <t>2026-07-28 06:35:19</t>
  </si>
  <si>
    <t>5233242-28355</t>
  </si>
  <si>
    <t>58084954898696*1
45242109329672*1</t>
  </si>
  <si>
    <t>Jennifer Noël Poupinha</t>
  </si>
  <si>
    <t>87500155539769G</t>
  </si>
  <si>
    <t xml:space="preserve">19 Rue de l'Avenir </t>
  </si>
  <si>
    <t>2026-07-22 01:54:55</t>
  </si>
  <si>
    <t>2026-07-28 06:35:20</t>
  </si>
  <si>
    <t>5233242-28356</t>
  </si>
  <si>
    <t>45242109264136*1
45242109329672*1
58195854557448*1
58084954898696*1
45242109395208*1</t>
  </si>
  <si>
    <t>Le Crayon Intemporel - Jade
Le Crayon Intemporel - Carmin
2 gommes-capuchons Shield - Noir | Pack de 2 gommes
🎁 Mines colorées (100% off) - Pack de 6 mines | 36% d'économie
Le Crayon Intemporel - Nuit</t>
  </si>
  <si>
    <t>Allan Roubertie</t>
  </si>
  <si>
    <t>87500155539071I</t>
  </si>
  <si>
    <t xml:space="preserve">18bis Rue de la Guinaudine </t>
  </si>
  <si>
    <t>2026-07-22 01:57:30</t>
  </si>
  <si>
    <t>2026-07-28 06:35:21</t>
  </si>
  <si>
    <t>5233242-28357</t>
  </si>
  <si>
    <t>Pascal bonno</t>
  </si>
  <si>
    <t>'875001555197411</t>
  </si>
  <si>
    <t xml:space="preserve">32a Rue Emile Zola </t>
  </si>
  <si>
    <t>2026-07-22 01:59:17</t>
  </si>
  <si>
    <t>2026-07-28 06:35:23</t>
  </si>
  <si>
    <t>5233242-28358</t>
  </si>
  <si>
    <t>Ylan Gauthier-Reichenbach</t>
  </si>
  <si>
    <t>2019317789280441</t>
  </si>
  <si>
    <t>1156 Av Larivière Technosub</t>
  </si>
  <si>
    <t>2026-07-22 02:01:43</t>
  </si>
  <si>
    <t>2026-07-23 12:33:13</t>
  </si>
  <si>
    <t>5233242-28359</t>
  </si>
  <si>
    <t>4 mines*1
2 Gomme *1
 6 mines*1
Crayon*1
Gravure Personnalisée*1
Coffret Cadeau*1</t>
  </si>
  <si>
    <t>4 mines rechargeables
2 gommes-capuchons Shield - Noir | Pack de 2 gommes
🎁 Mines colorées (100% off) - Pack de 6 mines | 36% d'économie
Le Crayon Intemporel - Obsidienne
Gravure Personnalisée
Coffret Cadeau</t>
  </si>
  <si>
    <t>Marie Doria</t>
  </si>
  <si>
    <t>6A07277372366</t>
  </si>
  <si>
    <t>543 Rue des Jardins Fleuris Les Graulges</t>
  </si>
  <si>
    <t>2026-07-22 02:29:37</t>
  </si>
  <si>
    <t>2026-07-24 13:29:55</t>
  </si>
  <si>
    <t>5233242-28360</t>
  </si>
  <si>
    <t>Ginette Beauregard</t>
  </si>
  <si>
    <t>2019317789281448</t>
  </si>
  <si>
    <t xml:space="preserve">1424, Rue Émerie </t>
  </si>
  <si>
    <t>2026-07-22 02:38:28</t>
  </si>
  <si>
    <t>2026-07-23 12:33:14</t>
  </si>
  <si>
    <t>5233242-28361</t>
  </si>
  <si>
    <t>45242109296904*1
45242109329672*1
45242109231368*1
58084954898696*1
58195854557448*2</t>
  </si>
  <si>
    <t>Le Crayon Intemporel - Saturne
Le Crayon Intemporel - Carmin
Le Crayon Intemporel - Obsidienne
🎁 Mines colorées (100% off) - Pack de 6 mines | 36% d'économie
2 gommes-capuchons Shield - Noir | Pack de 2 gommes</t>
  </si>
  <si>
    <t>Aurelia TALENTI</t>
  </si>
  <si>
    <t>87500155337905F</t>
  </si>
  <si>
    <t>26 Rue du Commandant René Mouchotte H204</t>
  </si>
  <si>
    <t>2026-07-22 02:40:45</t>
  </si>
  <si>
    <t>2026-07-28 06:35:24</t>
  </si>
  <si>
    <t>5233242-28362</t>
  </si>
  <si>
    <t>45407586615560*1
49624586256648*1
58195854557448*1
58084954898696*1
45242109231368*2
45242109231368*1
52838739738888*2
52838739738888*1</t>
  </si>
  <si>
    <t>4 mines rechargeables
Mines colorées - Pack de 6 mines | 36% d'économie
2 gommes-capuchons Shield - Noir | Pack de 2 gommes
🎁 Mines colorées (100% off) - Pack de 6 mines | 36% d'économie
Le Crayon Intemporel - Obsidienne
Le Crayon Intemporel - Obsidienne
Coffret Cadeau
Coffret Cadeau</t>
  </si>
  <si>
    <t>Helene Sagne</t>
  </si>
  <si>
    <t>5Y00595601279</t>
  </si>
  <si>
    <t xml:space="preserve">17 Rue Pierre de Ronsard </t>
  </si>
  <si>
    <t>2026-07-22 02:59:30</t>
  </si>
  <si>
    <t>2026-07-28 06:35:25</t>
  </si>
  <si>
    <t>5233242-28363</t>
  </si>
  <si>
    <t xml:space="preserve"> 6 mines*1
2 Gomme *1
4 mine*1</t>
  </si>
  <si>
    <t>🎁 Mines colorées (100% off) - Pack de 6 mines | 36% d'économie
2 gommes-capuchons Shield - Noir | Pack de 2 gommes
Lot de 4 mines rechargeables</t>
  </si>
  <si>
    <t>Jeremy Nyssen</t>
  </si>
  <si>
    <t>LD798400622BE</t>
  </si>
  <si>
    <t>rue des Technologies 3</t>
  </si>
  <si>
    <t>2026-07-22 03:00:25</t>
  </si>
  <si>
    <t>5233242-28364</t>
  </si>
  <si>
    <t>2 gommes-capuchons Shield - Noir | Pack de 2 gommes
🎁 Mines colorées (100% off) - Pack de 6 mines | 36% d'économie
Le Crayon Intemporel - Jade
Gravure Personnalisée</t>
  </si>
  <si>
    <t>mathieu bortolin</t>
  </si>
  <si>
    <t>LD798464251BE</t>
  </si>
  <si>
    <t xml:space="preserve">Rue de l'Abbaye 41 </t>
  </si>
  <si>
    <t>2026-07-22 03:19:29</t>
  </si>
  <si>
    <t>5233242-28365</t>
  </si>
  <si>
    <t>58195854557448*1
58084954898696*1
58274131771656*1</t>
  </si>
  <si>
    <t>2 gommes-capuchons Shield - Noir | Pack de 2 gommes
🎁 Mines colorées (100% off) - Pack de 6 mines | 36% d'économie
Le Carnet Parfait</t>
  </si>
  <si>
    <t>Max Petit</t>
  </si>
  <si>
    <t>5Y00595601262</t>
  </si>
  <si>
    <t xml:space="preserve">6 Rue du Moulin à Vent </t>
  </si>
  <si>
    <t>2026-07-22 03:21:09</t>
  </si>
  <si>
    <t>2026-07-28 06:35:27</t>
  </si>
  <si>
    <t>5233242-28366</t>
  </si>
  <si>
    <t>Crayon*1
Gravure Personnalisée*1
2 Gomme *3
 6 mines*1
12 mines*1</t>
  </si>
  <si>
    <t>Le Crayon Intemporel - Nuit
Gravure Personnalisée
2 gommes-capuchons Shield - Noir | Pack de 2 gommes
🎁 Mines colorées (100% off) - Pack de 6 mines | 36% d'économie
Mines colorées - Pack de 12 mines | 47% d'économie</t>
  </si>
  <si>
    <t>Florence Piron</t>
  </si>
  <si>
    <t>LD798464407BE</t>
  </si>
  <si>
    <t xml:space="preserve">Rue d Offagne 30 </t>
  </si>
  <si>
    <t>2026-07-22 03:32:21</t>
  </si>
  <si>
    <t>2026-07-24 13:46:02</t>
  </si>
  <si>
    <t>5233242-28367</t>
  </si>
  <si>
    <t>Loris Mardel</t>
  </si>
  <si>
    <t>87500155518093C</t>
  </si>
  <si>
    <t xml:space="preserve">8 Grande Rue </t>
  </si>
  <si>
    <t>2026-07-22 03:37:49</t>
  </si>
  <si>
    <t>2026-07-28 06:35:28</t>
  </si>
  <si>
    <t>5233242-28368</t>
  </si>
  <si>
    <t>4 mines*1
Crayon*1
Gravure Personnalisée*1
 6 mines*1</t>
  </si>
  <si>
    <t>4 mines rechargeables
Le Crayon Intemporel - Jade
Gravure Personnalisée
🎁 Mines colorées (100% off) - Pack de 6 mines | 36% d'économie</t>
  </si>
  <si>
    <t>Gilles Masson</t>
  </si>
  <si>
    <t>6A07275775008</t>
  </si>
  <si>
    <t xml:space="preserve">1866 Route de la Cogentière </t>
  </si>
  <si>
    <t>2026-07-22 03:46:08</t>
  </si>
  <si>
    <t>2026-07-24 13:29:57</t>
  </si>
  <si>
    <t>5233242-28369</t>
  </si>
  <si>
    <t>Crayon*1
Gravure Personnalisée*1
4 mines*1
2 Gomme *1
 6 mines*1</t>
  </si>
  <si>
    <t>Le Crayon Intemporel - Carmin
Gravure Personnalisée
4 mines rechargeables
2 gommes-capuchons Shield - Noir | Pack de 2 gommes
🎁 Mines colorées (100% off) - Pack de 6 mines | 36% d'économie</t>
  </si>
  <si>
    <t>Jean-christophe Parent-paquette</t>
  </si>
  <si>
    <t>7321315918826901</t>
  </si>
  <si>
    <t xml:space="preserve">3258 grand-boylevard </t>
  </si>
  <si>
    <t>2026-07-22 03:48:00</t>
  </si>
  <si>
    <t>5233242-28370</t>
  </si>
  <si>
    <t>58084954898696*1
45242109264136*1</t>
  </si>
  <si>
    <t>Marie Curtet</t>
  </si>
  <si>
    <t>'875001553363151</t>
  </si>
  <si>
    <t>Appartement 83 Rue Jacques dulud</t>
  </si>
  <si>
    <t>2026-07-22 04:05:58</t>
  </si>
  <si>
    <t>2026-07-28 06:35:29</t>
  </si>
  <si>
    <t>5233242-28371</t>
  </si>
  <si>
    <t>Carnet *1
2 Gomme *1
 6 mines*1
12 mines*1</t>
  </si>
  <si>
    <t>Le Carnet Parfait
2 gommes-capuchons Shield - Noir | Pack de 2 gommes
🎁 Mines colorées (100% off) - Pack de 6 mines | 36% d'économie
Mines colorées - Pack de 12 mines | 47% d'économie</t>
  </si>
  <si>
    <t>Magali Yaël Pfister</t>
  </si>
  <si>
    <t>LW309606541CH</t>
  </si>
  <si>
    <t xml:space="preserve">Rue des Mouettes 8 </t>
  </si>
  <si>
    <t>2026-07-22 04:23:49</t>
  </si>
  <si>
    <t>5233242-28372</t>
  </si>
  <si>
    <t>2 gommes-capuchons Shield - Noir | Pack de 2 gommes
🎁 Mines colorées (100% off) - Pack de 6 mines | 36% d'économie
Le Crayon Intemporel - Jade
Gravure Personnalisée
Coffret Cadeau</t>
  </si>
  <si>
    <t>Olivier Roche</t>
  </si>
  <si>
    <t>6A07280567650</t>
  </si>
  <si>
    <t>Cabinet Orl 45 B Av Cantini</t>
  </si>
  <si>
    <t>2026-07-22 04:26:49</t>
  </si>
  <si>
    <t>2026-07-24 13:29:59</t>
  </si>
  <si>
    <t>5233242-28373</t>
  </si>
  <si>
    <t>Raphaël Slimovici</t>
  </si>
  <si>
    <t>'875001555164090</t>
  </si>
  <si>
    <t xml:space="preserve">23 Avenue Carnot </t>
  </si>
  <si>
    <t>2026-07-22 04:37:17</t>
  </si>
  <si>
    <t>2026-07-28 06:35:30</t>
  </si>
  <si>
    <t>5233242-28374</t>
  </si>
  <si>
    <t>58084954898696*1
58274131771656*1</t>
  </si>
  <si>
    <t>🎁 Mines colorées (100% off) - Pack de 6 mines | 36% d'économie
Le Carnet Parfait</t>
  </si>
  <si>
    <t>5Y00595601255</t>
  </si>
  <si>
    <t>2026-07-22 04:58:52</t>
  </si>
  <si>
    <t>2026-07-28 06:35:31</t>
  </si>
  <si>
    <t>5233242-28375</t>
  </si>
  <si>
    <t>Martin Lipowiez</t>
  </si>
  <si>
    <t>87500155333224I</t>
  </si>
  <si>
    <t xml:space="preserve">10 Chemin Des Meuniers </t>
  </si>
  <si>
    <t>2026-07-22 05:02:31</t>
  </si>
  <si>
    <t>2026-07-28 06:35:32</t>
  </si>
  <si>
    <t>5233242-28376</t>
  </si>
  <si>
    <t>Hugo Cazenave</t>
  </si>
  <si>
    <t>87500155512753R</t>
  </si>
  <si>
    <t xml:space="preserve">375 Chemin de Sartuque </t>
  </si>
  <si>
    <t>2026-07-22 05:05:22</t>
  </si>
  <si>
    <t>2026-07-28 06:35:33</t>
  </si>
  <si>
    <t>5233242-28377</t>
  </si>
  <si>
    <t>58195854557448*2
45407586615560*1
45242109329672*1
58084954898696*1</t>
  </si>
  <si>
    <t>2 gommes-capuchons Shield - Noir | Pack de 2 gommes
4 mines rechargeables
Le Crayon Intemporel - Carmin
🎁 Mines colorées (100% off) - Pack de 6 mines | 36% d'économie</t>
  </si>
  <si>
    <t>Jean-Claude ROZENCWAJG</t>
  </si>
  <si>
    <t>87500155331851P</t>
  </si>
  <si>
    <t>1 Avenue Georges Pompidou Hall 8</t>
  </si>
  <si>
    <t>2026-07-22 05:08:52</t>
  </si>
  <si>
    <t>2026-07-28 06:35:35</t>
  </si>
  <si>
    <t>5233242-28378</t>
  </si>
  <si>
    <t>4 mines*1
2 Gomme *1
 6 mines*1
Crayon*1
Gravure Personnalisée*1</t>
  </si>
  <si>
    <t>4 mines rechargeables
2 gommes-capuchons Shield - Noir | Pack de 2 gommes
🎁 Mines colorées (100% off) - Pack de 6 mines | 36% d'économie
Le Crayon Intemporel - Nuit
Gravure Personnalisée</t>
  </si>
  <si>
    <t>Elouan Passereau</t>
  </si>
  <si>
    <t>6A07277372373</t>
  </si>
  <si>
    <t xml:space="preserve">29 Rue De L Ic </t>
  </si>
  <si>
    <t>2026-07-22 05:37:59</t>
  </si>
  <si>
    <t>2026-07-24 13:30:00</t>
  </si>
  <si>
    <t>5233242-28379</t>
  </si>
  <si>
    <t>Jacques-Olivier Fauth</t>
  </si>
  <si>
    <t>YT2620400701249763</t>
  </si>
  <si>
    <t xml:space="preserve">Via Campagna 29 </t>
  </si>
  <si>
    <t>2026-07-22 05:49:30</t>
  </si>
  <si>
    <t>5233242-28380</t>
  </si>
  <si>
    <t>45407589237000*2
45407589237000*1
58084954898696*1</t>
  </si>
  <si>
    <t>Le Crayon Intemporel - Aluminium
Le Crayon Intemporel - Aluminium
🎁 Mines colorées (100% off) - Pack de 6 mines | 36% d'économie</t>
  </si>
  <si>
    <t>Nicolas TRITZ</t>
  </si>
  <si>
    <t>'875001555111839</t>
  </si>
  <si>
    <t xml:space="preserve">6 Quai Boissy d'Anglas </t>
  </si>
  <si>
    <t>2026-07-22 05:54:24</t>
  </si>
  <si>
    <t>2026-07-28 06:35:36</t>
  </si>
  <si>
    <t>5233242-28381</t>
  </si>
  <si>
    <t xml:space="preserve"> Crayon*1
Crayon*1
Gravure Personnalisée*1
Crayon*1
2 Gomme *3
 6 mines*1</t>
  </si>
  <si>
    <t>Le Crayon Intemporel - Aluminium
Le Crayon Intemporel - Nuit
Gravure Personnalisée
Le Crayon Intemporel - Carmin
2 gommes-capuchons Shield - Noir | Pack de 2 gommes
🎁 Mines colorées (100% off) - Pack de 6 mines | 36% d'économie</t>
  </si>
  <si>
    <t>Ismael Hermantin</t>
  </si>
  <si>
    <t>6A07277372380</t>
  </si>
  <si>
    <t>7.22订单28381需雕刻的铅笔有特殊符号  如果无法雕刻符号是否只刻文字？</t>
  </si>
  <si>
    <t xml:space="preserve">19 Rue des Lilas </t>
  </si>
  <si>
    <t>2026-07-22 06:03:59</t>
  </si>
  <si>
    <t>2026-07-25 12:19:20</t>
  </si>
  <si>
    <t>5233242-28382</t>
  </si>
  <si>
    <t>Shawn Ravichandran</t>
  </si>
  <si>
    <t>6A07277372397</t>
  </si>
  <si>
    <t xml:space="preserve">2 Place Georges Brassens </t>
  </si>
  <si>
    <t>2026-07-22 06:21:33</t>
  </si>
  <si>
    <t>2026-07-24 13:30:02</t>
  </si>
  <si>
    <t>5233242-28383</t>
  </si>
  <si>
    <t>Lisa Licoine</t>
  </si>
  <si>
    <t>87500155329967O</t>
  </si>
  <si>
    <t xml:space="preserve">33 allée des courlains </t>
  </si>
  <si>
    <t>2026-07-22 06:36:22</t>
  </si>
  <si>
    <t>2026-07-28 06:35:37</t>
  </si>
  <si>
    <t>5233242-28384</t>
  </si>
  <si>
    <t>Mauro Devoto Bevensee</t>
  </si>
  <si>
    <t>87500155507933C</t>
  </si>
  <si>
    <t xml:space="preserve">18 Rue Aristide Briand </t>
  </si>
  <si>
    <t>2026-07-22 07:03:30</t>
  </si>
  <si>
    <t>2026-07-28 06:35:38</t>
  </si>
  <si>
    <t>5233242-28385</t>
  </si>
  <si>
    <t>Thomas Vignier</t>
  </si>
  <si>
    <t>LD798400335BE</t>
  </si>
  <si>
    <t xml:space="preserve">Rue du Trône 103 </t>
  </si>
  <si>
    <t>2026-07-22 07:33:44</t>
  </si>
  <si>
    <t>5233242-28386</t>
  </si>
  <si>
    <t>Le Crayon Intemporel - Obsidienne
Gravure Personnalisée
4 mines rechargeables
2 gommes-capuchons Shield - Noir | Pack de 2 gommes
🎁 Mines colorées (100% off) - Pack de 6 mines | 36% d'économie</t>
  </si>
  <si>
    <t>Charlotte Itier</t>
  </si>
  <si>
    <t>6A07280567667</t>
  </si>
  <si>
    <t xml:space="preserve">24 Route de Saint Germain l’Herm </t>
  </si>
  <si>
    <t>2026-07-22 07:48:30</t>
  </si>
  <si>
    <t>2026-07-24 13:30:04</t>
  </si>
  <si>
    <t>5233242-28387</t>
  </si>
  <si>
    <t>Maryse Malenfant</t>
  </si>
  <si>
    <t>7321315918395964</t>
  </si>
  <si>
    <t>7.22订单28297-28387需雕刻铅笔已经全部统计</t>
  </si>
  <si>
    <t xml:space="preserve">145 chemin des Canards </t>
  </si>
  <si>
    <t>2026-07-22 08:07:28</t>
  </si>
  <si>
    <t>5233242-28388</t>
  </si>
  <si>
    <t>2 Gomme *3
 6 mines*1
Carnet *1</t>
  </si>
  <si>
    <t>Sylvain Seronveaux</t>
  </si>
  <si>
    <t>LD798400260BE</t>
  </si>
  <si>
    <t xml:space="preserve">Rue du Trois Juin 219 </t>
  </si>
  <si>
    <t>2026-07-22 11:02:21</t>
  </si>
  <si>
    <t>5233242-28389</t>
  </si>
  <si>
    <t>58274131771656*1</t>
  </si>
  <si>
    <t>Le Carnet Parfait</t>
  </si>
  <si>
    <t>Bertrand Studer</t>
  </si>
  <si>
    <t>5Y 0059561003 5</t>
  </si>
  <si>
    <t xml:space="preserve">6b chemin des pièces </t>
  </si>
  <si>
    <t>2026-07-22 12:53:20</t>
  </si>
  <si>
    <t>2026-07-29 07:03:51</t>
  </si>
  <si>
    <t>5233242-28390</t>
  </si>
  <si>
    <t>45407586615560*1
58084954898696*1
45407589237000*1</t>
  </si>
  <si>
    <t>4 mines rechargeables
🎁 Mines colorées (100% off) - Pack de 6 mines | 36% d'économie
Le Crayon Intemporel - Aluminium</t>
  </si>
  <si>
    <t>Thibaut Dupré</t>
  </si>
  <si>
    <t>'87500155670223</t>
  </si>
  <si>
    <t xml:space="preserve">22 rue des Teinturiers </t>
  </si>
  <si>
    <t>2026-07-22 13:39:29</t>
  </si>
  <si>
    <t>2026-07-29 07:03:52</t>
  </si>
  <si>
    <t>5233242-28391</t>
  </si>
  <si>
    <t>Crayon*1
Gravure Personnalisée*1
2 Gomme *1
 6 mines*1</t>
  </si>
  <si>
    <t>Le Crayon Intemporel - Obsidienne
Gravure Personnalisée
2 gommes-capuchons Shield - Noir | Pack de 2 gommes
🎁 Mines colorées (100% off) - Pack de 6 mines | 36% d'économie</t>
  </si>
  <si>
    <t>Laetitia Koenig</t>
  </si>
  <si>
    <t>6A07280751240</t>
  </si>
  <si>
    <t xml:space="preserve">4 Rue De Dalhunden </t>
  </si>
  <si>
    <t>2026-07-22 13:41:36</t>
  </si>
  <si>
    <t>2026-07-25 12:19:22</t>
  </si>
  <si>
    <t>5233242-28392</t>
  </si>
  <si>
    <t>45407589237000*1
45242109329672*1
45242109395208*1
58084954898696*1</t>
  </si>
  <si>
    <t>Le Crayon Intemporel - Aluminium
Le Crayon Intemporel - Carmin
Le Crayon Intemporel - Nuit
🎁 Mines colorées (100% off) - Pack de 6 mines | 36% d'économie</t>
  </si>
  <si>
    <t>Delphine Brunot</t>
  </si>
  <si>
    <t>'87500155863974</t>
  </si>
  <si>
    <t xml:space="preserve">1 Rue Brabant </t>
  </si>
  <si>
    <t>2026-07-22 14:11:49</t>
  </si>
  <si>
    <t>2026-07-29 07:03:53</t>
  </si>
  <si>
    <t>5233242-28393</t>
  </si>
  <si>
    <t>45242109395208*1
45242109264136*1
45242109329672*1
58084954898696*1</t>
  </si>
  <si>
    <t>Le Crayon Intemporel - Nuit
Le Crayon Intemporel - Jade
Le Crayon Intemporel - Carmin
🎁 Mines colorées (100% off) - Pack de 6 mines | 36% d'économie</t>
  </si>
  <si>
    <t>Estelle Coadou</t>
  </si>
  <si>
    <t>'87500155865072</t>
  </si>
  <si>
    <t xml:space="preserve">11 Rue De Resken </t>
  </si>
  <si>
    <t>2026-07-22 14:56:34</t>
  </si>
  <si>
    <t>2026-07-29 07:03:54</t>
  </si>
  <si>
    <t>5233242-28394</t>
  </si>
  <si>
    <t>Nicolas Champeau</t>
  </si>
  <si>
    <t>6A07275959675</t>
  </si>
  <si>
    <t xml:space="preserve">445 Chemin des Coulons </t>
  </si>
  <si>
    <t>2026-07-22 15:32:28</t>
  </si>
  <si>
    <t>2026-07-25 12:19:23</t>
  </si>
  <si>
    <t>5233242-28395</t>
  </si>
  <si>
    <t>57754101055752*1
45242109296904*1
45242109395208*1
58084954898696*1
45242109329672*1</t>
  </si>
  <si>
    <t>Mines colorées - Pack de 12 mines | 47% d'économie
Le Crayon Intemporel - Saturne
Le Crayon Intemporel - Nuit
🎁 Mines colorées (100% off) - Pack de 6 mines | 36% d'économie
Le Crayon Intemporel - Carmin</t>
  </si>
  <si>
    <t>Mathéo Debeir</t>
  </si>
  <si>
    <t>'87500155866005</t>
  </si>
  <si>
    <t xml:space="preserve">19 rue du general de Gaulle </t>
  </si>
  <si>
    <t>2026-07-22 15:51:44</t>
  </si>
  <si>
    <t>2026-07-29 07:03:55</t>
  </si>
  <si>
    <t>5233242-28396</t>
  </si>
  <si>
    <t>58195854557448*1
58084954898696*1
45242109231368*1</t>
  </si>
  <si>
    <t>Marie Vergès</t>
  </si>
  <si>
    <t>'87500155866964</t>
  </si>
  <si>
    <t xml:space="preserve">215 bis avevur pasteur </t>
  </si>
  <si>
    <t>2026-07-22 16:06:26</t>
  </si>
  <si>
    <t>2026-07-29 07:10:33</t>
  </si>
  <si>
    <t>5233242-28397</t>
  </si>
  <si>
    <t>45407589237000*1
45407586615560*1
45242109296904*2
58084954898696*1
58195854557448*1</t>
  </si>
  <si>
    <t>Le Crayon Intemporel - Aluminium
4 mines rechargeables
Le Crayon Intemporel - Saturne
🎁 Mines colorées (100% off) - Pack de 6 mines | 36% d'économie
2 gommes-capuchons Shield - Noir | Pack de 2 gommes</t>
  </si>
  <si>
    <t>Benjamin Azoulay</t>
  </si>
  <si>
    <t>'87500155674889</t>
  </si>
  <si>
    <t>258 Boulevard Voltaire Code 29B38 4eme Gauche</t>
  </si>
  <si>
    <t>2026-07-22 16:12:15</t>
  </si>
  <si>
    <t>2026-07-29 07:10:34</t>
  </si>
  <si>
    <t>5233242-28398</t>
  </si>
  <si>
    <t>2 Gomme *1
Coffret Cadeau*1
Crayon*1
Crayon*1
 6 mines*1
Crayon*1</t>
  </si>
  <si>
    <t>2 gommes-capuchons Shield - Noir | Pack de 2 gommes
Coffret Cadeau
Le Crayon Intemporel - Nuit
Le Crayon Intemporel - Obsidienne
🎁 Mines colorées (100% off) - Pack de 6 mines | 36% d'économie
Le Crayon Intemporel - Jade</t>
  </si>
  <si>
    <t>Maud Ferrari</t>
  </si>
  <si>
    <t>LW309606475CH</t>
  </si>
  <si>
    <t xml:space="preserve">Chemin du Val-d'Angrogne 12 </t>
  </si>
  <si>
    <t>2026-07-22 16:12:45</t>
  </si>
  <si>
    <t>5233242-28399</t>
  </si>
  <si>
    <t>Henri Dubois</t>
  </si>
  <si>
    <t>'87500155868824</t>
  </si>
  <si>
    <t xml:space="preserve">16 La Calmette </t>
  </si>
  <si>
    <t>2026-07-22 16:50:35</t>
  </si>
  <si>
    <t>2026-07-29 07:03:57</t>
  </si>
  <si>
    <t>5233242-28400</t>
  </si>
  <si>
    <t>58195854557448*1
45407586615560*1
45407589237000*1
45242109264136*1
58084954898696*1
45242109231368*1
49624586256648*1</t>
  </si>
  <si>
    <t>2 gommes-capuchons Shield - Noir | Pack de 2 gommes
4 mines rechargeables
Le Crayon Intemporel - Aluminium
Le Crayon Intemporel - Jade
🎁 Mines colorées (100% off) - Pack de 6 mines | 36% d'économie
Le Crayon Intemporel - Obsidienne
Mines colorées - Pack de 6 mines | 36% d'économie</t>
  </si>
  <si>
    <t>Erika Roméra</t>
  </si>
  <si>
    <t>'87500155869353</t>
  </si>
  <si>
    <t xml:space="preserve">29 Rue des Alouettes </t>
  </si>
  <si>
    <t>2026-07-22 17:02:58</t>
  </si>
  <si>
    <t>2026-07-29 07:10:35</t>
  </si>
  <si>
    <t>5233242-28401</t>
  </si>
  <si>
    <t>45242109395208*1
45242109231368*1
58084954898696*1
45242109264136*1</t>
  </si>
  <si>
    <t>Le Crayon Intemporel - Nuit
Le Crayon Intemporel - Obsidienne
🎁 Mines colorées (100% off) - Pack de 6 mines | 36% d'économie
Le Crayon Intemporel - Jade</t>
  </si>
  <si>
    <t>Pierre Chatrefou</t>
  </si>
  <si>
    <t>'87500155869965</t>
  </si>
  <si>
    <t>3 Quai Du Léon Hôtel du Port</t>
  </si>
  <si>
    <t>2026-07-22 17:16:31</t>
  </si>
  <si>
    <t>2026-07-29 07:03:58</t>
  </si>
  <si>
    <t>5233242-28402</t>
  </si>
  <si>
    <t>Crayon*1
Gravure Personnalisée*1
Crayon*1
12 mines*1
4 mines*1
2 Gomme *1
 6 mines*1
Crayon*1</t>
  </si>
  <si>
    <t>Le Crayon Intemporel - Nuit
Gravure Personnalisée
Le Crayon Intemporel - Obsidienne
Mines colorées - Pack de 12 mines | 47% d'économie
4 mines rechargeables
2 gommes-capuchons Shield - Noir | Pack de 2 gommes
🎁 Mines colorées (100% off) - Pack de 6 mines | 36% d'économie
Le Crayon Intemporel - Nuit</t>
  </si>
  <si>
    <t>Renan Plaquet</t>
  </si>
  <si>
    <t>6A07292105345</t>
  </si>
  <si>
    <t xml:space="preserve">16 Route de Meilhards </t>
  </si>
  <si>
    <t>2026-07-22 17:49:37</t>
  </si>
  <si>
    <t>2026-07-25 12:19:26</t>
  </si>
  <si>
    <t>5233242-28403</t>
  </si>
  <si>
    <t>Camille Valzer</t>
  </si>
  <si>
    <t>'87500155677485</t>
  </si>
  <si>
    <t xml:space="preserve">10 Rue de l'Adjudant Vélin </t>
  </si>
  <si>
    <t>2026-07-22 17:52:04</t>
  </si>
  <si>
    <t>2026-07-29 07:10:36</t>
  </si>
  <si>
    <t>5233242-28404</t>
  </si>
  <si>
    <t>EL IASSA OUALID</t>
  </si>
  <si>
    <t>'87500155678037</t>
  </si>
  <si>
    <t xml:space="preserve">30 Rue des Hauts Chardonnets </t>
  </si>
  <si>
    <t>2026-07-22 18:15:57</t>
  </si>
  <si>
    <t>2026-07-29 07:03:59</t>
  </si>
  <si>
    <t>5233242-28405</t>
  </si>
  <si>
    <t>2 Gomme *1
6 mines*1
 6 mines*1
Crayon*1
Gravure Personnalisée*1</t>
  </si>
  <si>
    <t>2 gommes-capuchons Shield - Noir | Pack de 2 gommes
Mines colorées - Pack de 6 mines | 36% d'économie
🎁 Mines colorées (100% off) - Pack de 6 mines | 36% d'économie
Le Crayon Intemporel - Carmin
Gravure Personnalisée</t>
  </si>
  <si>
    <t>Fabienne mollard</t>
  </si>
  <si>
    <t>6A07287308027</t>
  </si>
  <si>
    <t xml:space="preserve">214 Rue De Voglans </t>
  </si>
  <si>
    <t>2026-07-22 18:38:59</t>
  </si>
  <si>
    <t>2026-07-25 12:19:27</t>
  </si>
  <si>
    <t>5233242-28406</t>
  </si>
  <si>
    <t>Crayon*2
Gravure Personnalisée*2
 6 mines*1
Crayon*1</t>
  </si>
  <si>
    <t>Le Crayon Intemporel - Nuit
Gravure Personnalisée
🎁 Mines colorées (100% off) - Pack de 6 mines | 36% d'économie
Le Crayon Intemporel - Nuit</t>
  </si>
  <si>
    <t>Mifa Asbl</t>
  </si>
  <si>
    <t>LD798530931BE</t>
  </si>
  <si>
    <t xml:space="preserve">22 Justin Scheepmansstraat </t>
  </si>
  <si>
    <t>2026-07-22 18:48:17</t>
  </si>
  <si>
    <t>2026-07-25 12:32:05</t>
  </si>
  <si>
    <t>5233242-28407</t>
  </si>
  <si>
    <t>Lucas Tarasconi</t>
  </si>
  <si>
    <t>6A07288902972</t>
  </si>
  <si>
    <t>12 Avenue de la Grande Armée Bâtiment C</t>
  </si>
  <si>
    <t>2026-07-22 18:51:38</t>
  </si>
  <si>
    <t>2026-07-25 12:19:29</t>
  </si>
  <si>
    <t>5233242-28408</t>
  </si>
  <si>
    <t>58084954898696*1
45242109329672*2</t>
  </si>
  <si>
    <t>GUILHIN francis</t>
  </si>
  <si>
    <t>'87500155872035</t>
  </si>
  <si>
    <t>6180 Route de Rieux Lieu dit Le Tourné</t>
  </si>
  <si>
    <t>2026-07-22 19:34:30</t>
  </si>
  <si>
    <t>2026-07-29 07:04:00</t>
  </si>
  <si>
    <t>5233242-28409</t>
  </si>
  <si>
    <t>Sébastien Martinez</t>
  </si>
  <si>
    <t>'87500155679341</t>
  </si>
  <si>
    <t xml:space="preserve">3 Allée des Acacias </t>
  </si>
  <si>
    <t>2026-07-22 20:24:08</t>
  </si>
  <si>
    <t>2026-07-29 07:04:02</t>
  </si>
  <si>
    <t>5233242-28410</t>
  </si>
  <si>
    <t>Christian Kuhn</t>
  </si>
  <si>
    <t>LW309754443CH</t>
  </si>
  <si>
    <t xml:space="preserve">Impasse Des Cerisiers 31 </t>
  </si>
  <si>
    <t>2026-07-22 20:30:48</t>
  </si>
  <si>
    <t>5233242-28411</t>
  </si>
  <si>
    <t>Carnet *1
 6 mines*1
2 Gomme *2</t>
  </si>
  <si>
    <t>Le Carnet Parfait
🎁 Mines colorées (100% off) - Pack de 6 mines | 36% d'économie
2 gommes-capuchons Shield - Noir | Pack de 2 gommes</t>
  </si>
  <si>
    <t>Roberto Kurzo</t>
  </si>
  <si>
    <t>LW309606484CH</t>
  </si>
  <si>
    <t xml:space="preserve">Rue du Temple 18 </t>
  </si>
  <si>
    <t>2026-07-22 21:07:27</t>
  </si>
  <si>
    <t>5233242-28412</t>
  </si>
  <si>
    <t>Crayon*1
Crayon*1
2 Gomme *1
 6 mines*1
Crayon*1</t>
  </si>
  <si>
    <t>Le Crayon Intemporel - Nuit
Le Crayon Intemporel - Carmin
2 gommes-capuchons Shield - Noir | Pack de 2 gommes
🎁 Mines colorées (100% off) - Pack de 6 mines | 36% d'économie
Le Crayon Intemporel - Jade</t>
  </si>
  <si>
    <t>Evelyne De smedt</t>
  </si>
  <si>
    <t>TYZRB0014133191YQ</t>
  </si>
  <si>
    <t xml:space="preserve">Oostvaartdijk 412 </t>
  </si>
  <si>
    <t>2026-07-22 21:17:57</t>
  </si>
  <si>
    <t>2026-07-27 14:14:18</t>
  </si>
  <si>
    <t>5233242-28413</t>
  </si>
  <si>
    <t>Raphaël Krieg</t>
  </si>
  <si>
    <t>TYZRB0014142026YQ</t>
  </si>
  <si>
    <t>7.28订单28413更换雕刻内容一支黑色 écrire sa destinée
7.23订单28413需雕刻的铅笔内容无法雕刻</t>
  </si>
  <si>
    <t xml:space="preserve">1a rue de la fontaine </t>
  </si>
  <si>
    <t>2026-07-22 21:33:23</t>
  </si>
  <si>
    <t>2026-07-31 13:35:36</t>
  </si>
  <si>
    <t>5233242-28414</t>
  </si>
  <si>
    <t>Guillaume de Lusigny</t>
  </si>
  <si>
    <t>6A07293703618</t>
  </si>
  <si>
    <t xml:space="preserve">Paulier </t>
  </si>
  <si>
    <t>2026-07-22 21:47:18</t>
  </si>
  <si>
    <t>2026-07-25 12:19:31</t>
  </si>
  <si>
    <t>5233242-28415</t>
  </si>
  <si>
    <t>Alexia Joly</t>
  </si>
  <si>
    <t>6A07288903023</t>
  </si>
  <si>
    <t xml:space="preserve">229 Route de Chamont </t>
  </si>
  <si>
    <t>2026-07-22 21:50:37</t>
  </si>
  <si>
    <t>2026-07-25 12:19:33</t>
  </si>
  <si>
    <t>5233242-28416</t>
  </si>
  <si>
    <t>45407586615560*1
58195854557448*1
58084954898696*1
45242109231368*1</t>
  </si>
  <si>
    <t>4 mines rechargeables
2 gommes-capuchons Shield - Noir | Pack de 2 gommes
🎁 Mines colorées (100% off) - Pack de 6 mines | 36% d'économie
Le Crayon Intemporel - Obsidienne</t>
  </si>
  <si>
    <t>Patrick Renault</t>
  </si>
  <si>
    <t>'87500155680003</t>
  </si>
  <si>
    <t xml:space="preserve">81 rue de Bordeaux </t>
  </si>
  <si>
    <t>2026-07-22 21:51:36</t>
  </si>
  <si>
    <t>2026-07-29 07:10:37</t>
  </si>
  <si>
    <t>5233242-28417</t>
  </si>
  <si>
    <t>58195854557448*1
45407586615560*1
58084954898696*1
45242109231368*1</t>
  </si>
  <si>
    <t>2 gommes-capuchons Shield - Noir | Pack de 2 gommes
4 mines rechargeables
🎁 Mines colorées (100% off) - Pack de 6 mines | 36% d'économie
Le Crayon Intemporel - Obsidienne</t>
  </si>
  <si>
    <t>Arnaud Dalbin</t>
  </si>
  <si>
    <t>'87500155680583</t>
  </si>
  <si>
    <t xml:space="preserve">9 Villa Dedouvre </t>
  </si>
  <si>
    <t>2026-07-22 22:26:39</t>
  </si>
  <si>
    <t>2026-07-29 07:10:39</t>
  </si>
  <si>
    <t>5233242-28418</t>
  </si>
  <si>
    <t>45242109231368*1
45407586615560*1
58084954898696*1
58195854557448*1</t>
  </si>
  <si>
    <t>Le Crayon Intemporel - Obsidienne
4 mines rechargeables
🎁 Mines colorées (100% off) - Pack de 6 mines | 36% d'économie
2 gommes-capuchons Shield - Noir | Pack de 2 gommes</t>
  </si>
  <si>
    <t>Mohammed Sylla</t>
  </si>
  <si>
    <t>'87500155874320</t>
  </si>
  <si>
    <t xml:space="preserve">7 Bis Rue Jean Jaurès </t>
  </si>
  <si>
    <t>2026-07-22 22:30:36</t>
  </si>
  <si>
    <t>2026-07-29 07:10:40</t>
  </si>
  <si>
    <t>5233242-28419</t>
  </si>
  <si>
    <t>45407586615560*1
45407589237000*1
45242109296904*1
45242109395208*1
58084954898696*1
58195854557448*1</t>
  </si>
  <si>
    <t>4 mines rechargeables
Le Crayon Intemporel - Aluminium
Le Crayon Intemporel - Saturne
Le Crayon Intemporel - Nuit
🎁 Mines colorées (100% off) - Pack de 6 mines | 36% d'économie
2 gommes-capuchons Shield - Noir | Pack de 2 gommes</t>
  </si>
  <si>
    <t>Laurence VÉNIANT</t>
  </si>
  <si>
    <t>'87500155682345</t>
  </si>
  <si>
    <t xml:space="preserve">18 bis rue des chainayes </t>
  </si>
  <si>
    <t>2026-07-22 22:52:03</t>
  </si>
  <si>
    <t>2026-07-29 07:10:41</t>
  </si>
  <si>
    <t>5233242-28420</t>
  </si>
  <si>
    <t>Le Crayon Intemporel - Obsidienne
Gravure Personnalisée
Le Crayon Intemporel - Carmin
Gravure Personnalisée
🎁 Mines colorées (100% off) - Pack de 6 mines | 36% d'économie
Le Crayon Intemporel - Nuit
Gravure Personnalisée</t>
  </si>
  <si>
    <t>Raphaëlle HIRAUX</t>
  </si>
  <si>
    <t>6A07293703625</t>
  </si>
  <si>
    <t xml:space="preserve">5 Rue Pasteur </t>
  </si>
  <si>
    <t>2026-07-23 00:34:12</t>
  </si>
  <si>
    <t>2026-07-25 12:19:35</t>
  </si>
  <si>
    <t>5233242-28421</t>
  </si>
  <si>
    <t>2 Gomme *1
Crayon*1
Crayon*1
Gravure Personnalisée*1
 6 mines*1
Crayon*1
Gravure Personnalisée*1
6 mines*1</t>
  </si>
  <si>
    <t>2 gommes-capuchons Shield - Noir | Pack de 2 gommes
Le Crayon Intemporel - Saturne
Le Crayon Intemporel - Nuit
Gravure Personnalisée
🎁 Mines colorées (100% off) - Pack de 6 mines | 36% d'économie
Le Crayon Intemporel - Nuit
Gravure Personnalisée
Mines colorées - Pack de 6 mines | 36% d'économie</t>
  </si>
  <si>
    <t>Morgane Pertuisel</t>
  </si>
  <si>
    <t>LW309754721CH</t>
  </si>
  <si>
    <t>Route Du Camp 25</t>
  </si>
  <si>
    <t>2026-07-23 00:36:49</t>
  </si>
  <si>
    <t>5233242-28422</t>
  </si>
  <si>
    <t>thierry Leduc</t>
  </si>
  <si>
    <t>'87500155682794</t>
  </si>
  <si>
    <t xml:space="preserve">1 Place St Victoire </t>
  </si>
  <si>
    <t>2026-07-23 01:09:31</t>
  </si>
  <si>
    <t>2026-07-29 07:04:03</t>
  </si>
  <si>
    <t>5233242-28423</t>
  </si>
  <si>
    <t>Yanis Rivière</t>
  </si>
  <si>
    <t>'87500155683281</t>
  </si>
  <si>
    <t xml:space="preserve">10 Rue Des Marettes </t>
  </si>
  <si>
    <t>2026-07-23 01:21:08</t>
  </si>
  <si>
    <t>2026-07-29 07:04:04</t>
  </si>
  <si>
    <t>5233242-28424</t>
  </si>
  <si>
    <t>4 mines*1
Crayon*1
 Crayon*1
2 Gomme *1
Carnet *1
 6 mines*1
Crayon*1
Gravure Personnalisée*1</t>
  </si>
  <si>
    <t>4 mines rechargeables
Le Crayon Intemporel - Nuit
Le Crayon Intemporel - Aluminium
2 gommes-capuchons Shield - Noir | Pack de 2 gommes
Le Carnet Parfait
🎁 Mines colorées (100% off) - Pack de 6 mines | 36% d'économie
Le Crayon Intemporel - Obsidienne
Gravure Personnalisée</t>
  </si>
  <si>
    <t>Brice Lhermitte</t>
  </si>
  <si>
    <t>6A07292105451</t>
  </si>
  <si>
    <t>19 Rue De Meaux 215 bat 2</t>
  </si>
  <si>
    <t>2026-07-23 02:33:34</t>
  </si>
  <si>
    <t>2026-07-25 12:19:37</t>
  </si>
  <si>
    <t>5233242-28425</t>
  </si>
  <si>
    <t>Guillaume HECKMANN</t>
  </si>
  <si>
    <t>'87500155683757</t>
  </si>
  <si>
    <t xml:space="preserve">3 rue des lilas </t>
  </si>
  <si>
    <t>2026-07-23 02:59:22</t>
  </si>
  <si>
    <t>2026-07-29 07:04:05</t>
  </si>
  <si>
    <t>5233242-28426</t>
  </si>
  <si>
    <t>Crayon*1
Gravure Personnalisée*1
Crayon*1
Gravure Personnalisée*1
Crayon*1
Gravure Personnalisée*1
2 Gomme *1
 6 mines*1</t>
  </si>
  <si>
    <t>Le Crayon Intemporel - Jade
Gravure Personnalisée
Le Crayon Intemporel - Obsidienne
Gravure Personnalisée
Le Crayon Intemporel - Obsidienne
Gravure Personnalisée
2 gommes-capuchons Shield - Noir | Pack de 2 gommes
🎁 Mines colorées (100% off) - Pack de 6 mines | 36% d'économie</t>
  </si>
  <si>
    <t>Nuances Candy</t>
  </si>
  <si>
    <t>6A07292105482</t>
  </si>
  <si>
    <t>157b Avenue du Quercy Nuances Candy</t>
  </si>
  <si>
    <t>2026-07-23 03:08:23</t>
  </si>
  <si>
    <t>2026-07-25 12:19:39</t>
  </si>
  <si>
    <t>5233242-28427</t>
  </si>
  <si>
    <t>58195854557448*1
58084954898696*1
45157341331720*1</t>
  </si>
  <si>
    <t>Sebastien Bessonnet</t>
  </si>
  <si>
    <t>'87500155684610</t>
  </si>
  <si>
    <t xml:space="preserve">21 Rue Ledru Rollin </t>
  </si>
  <si>
    <t>2026-07-23 03:20:36</t>
  </si>
  <si>
    <t>2026-07-29 07:10:43</t>
  </si>
  <si>
    <t>5233242-28428</t>
  </si>
  <si>
    <t>Gravure Personnalisée*1
Crayon*1
 6 mines*1
2 Gomme *1</t>
  </si>
  <si>
    <t>Gravure Personnalisée
Le Crayon Intemporel - Obsidienne
🎁 Mines colorées (100% off) - Pack de 6 mines | 36% d'économie
2 gommes-capuchons Shield - Noir | Pack de 2 gommes</t>
  </si>
  <si>
    <t>Lucas Bohl</t>
  </si>
  <si>
    <t>6A07288903078</t>
  </si>
  <si>
    <t xml:space="preserve">20 rue de l'école hericourt </t>
  </si>
  <si>
    <t>2026-07-23 03:54:14</t>
  </si>
  <si>
    <t>2026-07-25 12:19:40</t>
  </si>
  <si>
    <t>5233242-28429</t>
  </si>
  <si>
    <t>Baptiste Balbi</t>
  </si>
  <si>
    <t>'87500155685009</t>
  </si>
  <si>
    <t xml:space="preserve">25 Rue de Brest </t>
  </si>
  <si>
    <t>2026-07-23 04:05:46</t>
  </si>
  <si>
    <t>2026-07-29 07:04:06</t>
  </si>
  <si>
    <t>5233242-28430</t>
  </si>
  <si>
    <t>58084954898696*1
45242109296904*1</t>
  </si>
  <si>
    <t>Fabien Mousset</t>
  </si>
  <si>
    <t>'87500155685479</t>
  </si>
  <si>
    <t xml:space="preserve">42 T Rue De Willems </t>
  </si>
  <si>
    <t>2026-07-23 04:10:05</t>
  </si>
  <si>
    <t>2026-07-29 07:04:07</t>
  </si>
  <si>
    <t>5233242-28431</t>
  </si>
  <si>
    <t>Le Crayon Intemporel - Carmin
Gravure Personnalisée
2 gommes-capuchons Shield - Noir | Pack de 2 gommes
🎁 Mines colorées (100% off) - Pack de 6 mines | 36% d'économie</t>
  </si>
  <si>
    <t>Elie Rouas</t>
  </si>
  <si>
    <t>6A07287308089</t>
  </si>
  <si>
    <t xml:space="preserve">10 Bis Rue Béranger </t>
  </si>
  <si>
    <t>2026-07-23 04:30:42</t>
  </si>
  <si>
    <t>2026-07-25 12:19:43</t>
  </si>
  <si>
    <t>5233242-28432</t>
  </si>
  <si>
    <t>Jérémie Foulon</t>
  </si>
  <si>
    <t>6A07293703649</t>
  </si>
  <si>
    <t xml:space="preserve">8 Rue Sénac de Meilhan </t>
  </si>
  <si>
    <t>2026-07-23 04:34:13</t>
  </si>
  <si>
    <t>2026-07-25 12:19:45</t>
  </si>
  <si>
    <t>5233242-28433</t>
  </si>
  <si>
    <t>2 Gomme *1
4 mines*1
 6 mines*1
Crayon*1
Gravure Personnalisée*1</t>
  </si>
  <si>
    <t>2 gommes-capuchons Shield - Noir | Pack de 2 gommes
4 mines rechargeables
🎁 Mines colorées (100% off) - Pack de 6 mines | 36% d'économie
Le Crayon Intemporel - Nuit
Gravure Personnalisée</t>
  </si>
  <si>
    <t>Arthur Derrien</t>
  </si>
  <si>
    <t>6A07293703656</t>
  </si>
  <si>
    <t xml:space="preserve">2 Rue de l'Ic </t>
  </si>
  <si>
    <t>2026-07-23 04:39:49</t>
  </si>
  <si>
    <t>2026-07-25 12:19:47</t>
  </si>
  <si>
    <t>5233242-28434</t>
  </si>
  <si>
    <t>Jessy Varin</t>
  </si>
  <si>
    <t>6A07293703663</t>
  </si>
  <si>
    <t xml:space="preserve">6 Rue du Mont Mirel </t>
  </si>
  <si>
    <t>2026-07-23 04:39:58</t>
  </si>
  <si>
    <t>2026-07-25 12:19:49</t>
  </si>
  <si>
    <t>5233242-28435</t>
  </si>
  <si>
    <t>Domiciles Barros pinto</t>
  </si>
  <si>
    <t>'87500155686386</t>
  </si>
  <si>
    <t xml:space="preserve">20 Rue De Verdun </t>
  </si>
  <si>
    <t>2026-07-23 04:48:14</t>
  </si>
  <si>
    <t>2026-07-29 07:10:44</t>
  </si>
  <si>
    <t>5233242-28436</t>
  </si>
  <si>
    <t>Crayon*1
Gravure Personnalisée*1
Coffret Cadeau*1
12 mines*1
4 mines*1
Crayon*1
Gravure Personnalisée*1
Coffret Cadeau*1
Crayon*1
Gravure Personnalisée*1
Coffret Cadeau*1
 6 mines*1</t>
  </si>
  <si>
    <t>Le Crayon Intemporel - Carmin
Gravure Personnalisée
Coffret Cadeau
Mines colorées - Pack de 12 mines | 47% d'économie
4 mines rechargeables
Le Crayon Intemporel - Jade
Gravure Personnalisée
Coffret Cadeau
Le Crayon Intemporel - Obsidienne
Gravure Personnalisée
Coffret Cadeau
🎁 Mines colorées (100% off) - Pack de 6 mines | 36% d'économie</t>
  </si>
  <si>
    <t>Florent Bollaerts</t>
  </si>
  <si>
    <t>LD798530548BE</t>
  </si>
  <si>
    <t xml:space="preserve">Rue de Remouchamps 37A </t>
  </si>
  <si>
    <t>2026-07-23 04:54:59</t>
  </si>
  <si>
    <t>2026-07-25 12:32:06</t>
  </si>
  <si>
    <t>5233242-28437</t>
  </si>
  <si>
    <t>45242109329672*1
52838739738888*1
45242109296904*1
52838739738888*1
58283536580872*1
45242109231368*1
52838739738888*1</t>
  </si>
  <si>
    <t>Le Crayon Intemporel - Carmin
Coffret Cadeau
Le Crayon Intemporel - Saturne
Coffret Cadeau
🎁 Mines colorées (100% off) - Pack de 12 mines | 47% d'économie
Le Crayon Intemporel - Obsidienne
Coffret Cadeau</t>
  </si>
  <si>
    <t>Julien Lampin</t>
  </si>
  <si>
    <t>5Y 0059561004 2</t>
  </si>
  <si>
    <t xml:space="preserve">12b Rue Emile Zola </t>
  </si>
  <si>
    <t>2026-07-23 05:38:25</t>
  </si>
  <si>
    <t>2026-07-29 07:04:09</t>
  </si>
  <si>
    <t>5233242-28438</t>
  </si>
  <si>
    <t>58283536580872*1
45242109231368*1</t>
  </si>
  <si>
    <t>🎁 Mines colorées (100% off) - Pack de 12 mines | 47% d'économie
Le Crayon Intemporel - Obsidienne</t>
  </si>
  <si>
    <t>Haissam Beriane</t>
  </si>
  <si>
    <t>'87500155880641</t>
  </si>
  <si>
    <t>7.23订单28388-28438需雕刻的铅笔都已经统计</t>
  </si>
  <si>
    <t xml:space="preserve">4 Rue Montaigne </t>
  </si>
  <si>
    <t>2026-07-23 07:19:01</t>
  </si>
  <si>
    <t>2026-07-29 07:04:10</t>
  </si>
  <si>
    <t>5233242-28439</t>
  </si>
  <si>
    <t>2 Gomme *1
12 Mines*1
Crayon*1
Gravure Personnalisée*1</t>
  </si>
  <si>
    <t>2 gommes-capuchons Shield - Noir | Pack de 2 gommes
🎁 Mines colorées (100% off) - Pack de 12 mines | 47% d'économie
Le Crayon Intemporel - Carmin
Gravure Personnalisée</t>
  </si>
  <si>
    <t>Dimitri Franzi</t>
  </si>
  <si>
    <t>6A07292300672</t>
  </si>
  <si>
    <t xml:space="preserve">3 Rue de Talheim </t>
  </si>
  <si>
    <t>2026-07-23 13:49:35</t>
  </si>
  <si>
    <t>2026-07-26 12:27:07</t>
  </si>
  <si>
    <t>5233242-28440</t>
  </si>
  <si>
    <t>Crayon*1
Gravure Personnalisée*1
Crayon*1
Gravure Personnalisée*1
12 Mines*1
Crayon*1
Gravure Personnalisée*1</t>
  </si>
  <si>
    <t>Le Crayon Intemporel - Carmin
Gravure Personnalisée
Le Crayon Intemporel - Carmin
Gravure Personnalisée
🎁 Mines colorées (100% off) - Pack de 12 mines | 47% d'économie
Le Crayon Intemporel - Nuit
Gravure Personnalisée</t>
  </si>
  <si>
    <t>Aurore Meden</t>
  </si>
  <si>
    <t>6A07289097028</t>
  </si>
  <si>
    <t xml:space="preserve">2 Kernevez Vian </t>
  </si>
  <si>
    <t>2026-07-23 14:07:15</t>
  </si>
  <si>
    <t>2026-07-26 12:27:09</t>
  </si>
  <si>
    <t>5233242-28441</t>
  </si>
  <si>
    <t>58283536580872*1
45242109395208*1
45242109296904*1
45242109231368*1
58195854557448*1</t>
  </si>
  <si>
    <t>🎁 Mines colorées (100% off) - Pack de 12 mines | 47% d'économie
Le Crayon Intemporel - Nuit
Le Crayon Intemporel - Saturne
Le Crayon Intemporel - Obsidienne
2 gommes-capuchons Shield - Noir | Pack de 2 gommes</t>
  </si>
  <si>
    <t>Myriam Pontanus</t>
  </si>
  <si>
    <t>'87500155884506</t>
  </si>
  <si>
    <t xml:space="preserve">4 Rue Wilson </t>
  </si>
  <si>
    <t>2026-07-23 14:13:13</t>
  </si>
  <si>
    <t>2026-07-29 06:46:48</t>
  </si>
  <si>
    <t>5233242-28442</t>
  </si>
  <si>
    <t>58283536580872*1
45242109231368*2
45242109231368*1</t>
  </si>
  <si>
    <t>🎁 Mines colorées (100% off) - Pack de 12 mines | 47% d'économie
Le Crayon Intemporel - Obsidienne
Le Crayon Intemporel - Obsidienne</t>
  </si>
  <si>
    <t>Sophie MANNONI</t>
  </si>
  <si>
    <t>'87500155884050</t>
  </si>
  <si>
    <t xml:space="preserve">351 Route de Cérizols </t>
  </si>
  <si>
    <t>2026-07-23 14:32:29</t>
  </si>
  <si>
    <t>2026-07-29 06:46:50</t>
  </si>
  <si>
    <t>5233242-28443</t>
  </si>
  <si>
    <t>2 Gomme *1
4 mines*1
12 Mines*1
Crayon*1
Gravure Personnalisée*1</t>
  </si>
  <si>
    <t>2 gommes-capuchons Shield - Noir | Pack de 2 gommes
4 mines rechargeables
🎁 Mines colorées (100% off) - Pack de 12 mines | 47% d'économie
Le Crayon Intemporel - Obsidienne
Gravure Personnalisée</t>
  </si>
  <si>
    <t>Clémence FLEAU</t>
  </si>
  <si>
    <t>6A07287503729</t>
  </si>
  <si>
    <t>17 Allee Du Bois Martin Seynod</t>
  </si>
  <si>
    <t>2026-07-23 14:39:49</t>
  </si>
  <si>
    <t>2026-07-26 12:27:11</t>
  </si>
  <si>
    <t>5233242-28444</t>
  </si>
  <si>
    <t>45242109329672*1
45242109296904*1
58283536580872*1
45242109231368*1
52838739738888*1</t>
  </si>
  <si>
    <t>Le Crayon Intemporel - Carmin
Le Crayon Intemporel - Saturne
🎁 Mines colorées (100% off) - Pack de 12 mines | 47% d'économie
Le Crayon Intemporel - Obsidienne
Coffret Cadeau</t>
  </si>
  <si>
    <t>Cynthia Zuliani</t>
  </si>
  <si>
    <t>5Y 0059561006 6</t>
  </si>
  <si>
    <t xml:space="preserve">17 Avenue Comte de Bertier </t>
  </si>
  <si>
    <t>2026-07-23 14:41:02</t>
  </si>
  <si>
    <t>2026-07-29 06:46:51</t>
  </si>
  <si>
    <t>5233242-28445</t>
  </si>
  <si>
    <t>12 Mines*1
Crayon*1
Gravure Personnalisée*1
Coffret Cadeau*1</t>
  </si>
  <si>
    <t>🎁 Mines colorées (100% off) - Pack de 12 mines | 47% d'économie
Le Crayon Intemporel - Carmin
Gravure Personnalisée
Coffret Cadeau</t>
  </si>
  <si>
    <t>Benjamin Giraudeau</t>
  </si>
  <si>
    <t>6A07289097837</t>
  </si>
  <si>
    <t xml:space="preserve">24 Rue du Bois Marteau </t>
  </si>
  <si>
    <t>2026-07-23 15:43:00</t>
  </si>
  <si>
    <t>2026-07-26 12:27:13</t>
  </si>
  <si>
    <t>5233242-28446</t>
  </si>
  <si>
    <t>12 mines*1
Crayon*2
Crayon*1
Gravure Personnalisée*2
Gravure Personnalisée*1
2 Gomme *1
12 Mines*1</t>
  </si>
  <si>
    <t>Mines colorées - Pack de 12 mines | 47% d'économie
Le Crayon Intemporel - Nuit
Le Crayon Intemporel - Nuit
Gravure Personnalisée
Gravure Personnalisée
2 gommes-capuchons Shield - Noir | Pack de 2 gommes
🎁 Mines colorées (100% off) - Pack de 12 mines | 47% d'économie</t>
  </si>
  <si>
    <t>Pierre AGIUS</t>
  </si>
  <si>
    <t>6A07293911570</t>
  </si>
  <si>
    <t xml:space="preserve">47 Route du Haut Rocher </t>
  </si>
  <si>
    <t>2026-07-23 15:53:32</t>
  </si>
  <si>
    <t>2026-07-26 12:27:15</t>
  </si>
  <si>
    <t>5233242-28447</t>
  </si>
  <si>
    <t>45407586615560*1
45242109264136*1
45242109395208*1
58283536580872*1
45242109296904*1</t>
  </si>
  <si>
    <t>4 mines rechargeables
Le Crayon Intemporel - Jade
Le Crayon Intemporel - Nuit
🎁 Mines colorées (100% off) - Pack de 12 mines | 47% d'économie
Le Crayon Intemporel - Saturne</t>
  </si>
  <si>
    <t>Jean-Marie Defrance</t>
  </si>
  <si>
    <t>'87500155883762</t>
  </si>
  <si>
    <t xml:space="preserve">4 Rathsamhausen le Bas </t>
  </si>
  <si>
    <t>2026-07-23 16:18:59</t>
  </si>
  <si>
    <t>2026-07-29 06:46:52</t>
  </si>
  <si>
    <t>5233242-28448</t>
  </si>
  <si>
    <t>45242109395208*1
45242109329672*1
58283536580872*1
45242109231368*1</t>
  </si>
  <si>
    <t>Le Crayon Intemporel - Nuit
Le Crayon Intemporel - Carmin
🎁 Mines colorées (100% off) - Pack de 12 mines | 47% d'économie
Le Crayon Intemporel - Obsidienne</t>
  </si>
  <si>
    <t>Léa Trieste</t>
  </si>
  <si>
    <t>'87500155689501</t>
  </si>
  <si>
    <t>10bis Rue des Joueries Hotel ibis</t>
  </si>
  <si>
    <t>2026-07-23 16:28:14</t>
  </si>
  <si>
    <t>2026-07-29 06:46:53</t>
  </si>
  <si>
    <t>5233242-28449</t>
  </si>
  <si>
    <t>2 Gomme *1
4 mines*1
12 Mines*1
Crayon*1</t>
  </si>
  <si>
    <t>2 gommes-capuchons Shield - Noir | Pack de 2 gommes
4 mines rechargeables
🎁 Mines colorées (100% off) - Pack de 12 mines | 47% d'économie
Le Crayon Intemporel - Carmin</t>
  </si>
  <si>
    <t>Rémy Martin</t>
  </si>
  <si>
    <t>LD798464089BE</t>
  </si>
  <si>
    <t>深圳发货</t>
  </si>
  <si>
    <t>7.24订单28439-28449需雕刻的铅笔已经统计</t>
  </si>
  <si>
    <t xml:space="preserve">Rue Des Goutteaux 71 </t>
  </si>
  <si>
    <t>2026-07-23 16:45:14</t>
  </si>
  <si>
    <t>5233242-28450</t>
  </si>
  <si>
    <t>45407589237000*1
45242109231368*1
45242109264136*1
58195854557448*1
58283536580872*1</t>
  </si>
  <si>
    <t>Le Crayon Intemporel - Aluminium
Le Crayon Intemporel - Obsidienne
Le Crayon Intemporel - Jade
2 gommes-capuchons Shield - Noir | Pack de 2 gommes
🎁 Mines colorées (100% off) - Pack de 12 mines | 47% d'économie</t>
  </si>
  <si>
    <t>Patrick SAUVAIRE</t>
  </si>
  <si>
    <t>'87500155689185</t>
  </si>
  <si>
    <t xml:space="preserve">17 rue Lipizzan </t>
  </si>
  <si>
    <t>2026-07-23 18:27:13</t>
  </si>
  <si>
    <t>2026-07-29 06:46:55</t>
  </si>
  <si>
    <t>5233242-28451</t>
  </si>
  <si>
    <t>45407586615560*1
58283536580872*1
45242109231368*1</t>
  </si>
  <si>
    <t>4 mines rechargeables
🎁 Mines colorées (100% off) - Pack de 12 mines | 47% d'économie
Le Crayon Intemporel - Obsidienne</t>
  </si>
  <si>
    <t>Amélie Coblard</t>
  </si>
  <si>
    <t>'87500155688604</t>
  </si>
  <si>
    <t xml:space="preserve">63 Avenue Danton </t>
  </si>
  <si>
    <t>2026-07-23 19:20:54</t>
  </si>
  <si>
    <t>2026-07-29 06:46:56</t>
  </si>
  <si>
    <t>5233242-28452</t>
  </si>
  <si>
    <t>58195854557448*1
45407586615560*1
58283536580872*1
45242109231368*1</t>
  </si>
  <si>
    <t>2 gommes-capuchons Shield - Noir | Pack de 2 gommes
4 mines rechargeables
🎁 Mines colorées (100% off) - Pack de 12 mines | 47% d'économie
Le Crayon Intemporel - Obsidienne</t>
  </si>
  <si>
    <t>Aude Fontimpe</t>
  </si>
  <si>
    <t>'87500155688307</t>
  </si>
  <si>
    <t xml:space="preserve">8 Chemin  De Turagneux </t>
  </si>
  <si>
    <t>2026-07-23 22:30:56</t>
  </si>
  <si>
    <t>2026-07-30 06:36:42</t>
  </si>
  <si>
    <t>5233242-28453</t>
  </si>
  <si>
    <t>Florent Grumetz</t>
  </si>
  <si>
    <t>'87500155687920</t>
  </si>
  <si>
    <t xml:space="preserve">59 Rue de la Briqueterie </t>
  </si>
  <si>
    <t>2026-07-23 23:56:48</t>
  </si>
  <si>
    <t>2026-07-29 06:46:57</t>
  </si>
  <si>
    <t>5233242-28454</t>
  </si>
  <si>
    <t>Crayon*1
Gravure Personnalisée*1
Crayon*1
Gravure Personnalisée*1
Crayon*1
Gravure Personnalisée*1
12 Mines*1</t>
  </si>
  <si>
    <t>Le Crayon Intemporel - Nuit
Gravure Personnalisée
Le Crayon Intemporel - Obsidienne
Gravure Personnalisée
Le Crayon Intemporel - Carmin
Gravure Personnalisée
🎁 Mines colorées (100% off) - Pack de 12 mines | 47% d'économie</t>
  </si>
  <si>
    <t>6A07347769577</t>
  </si>
  <si>
    <t>2026-07-24 00:31:11</t>
  </si>
  <si>
    <t>2026-07-26 12:27:17</t>
  </si>
  <si>
    <t>5233242-28455</t>
  </si>
  <si>
    <t>58274131771656*1
58283536580872*1
58195854557448*2</t>
  </si>
  <si>
    <t>Le Carnet Parfait
🎁 Mines colorées (100% off) - Pack de 12 mines | 47% d'économie
2 gommes-capuchons Shield - Noir | Pack de 2 gommes</t>
  </si>
  <si>
    <t>5Y 0059561005 9</t>
  </si>
  <si>
    <t>2026-07-24 00:33:35</t>
  </si>
  <si>
    <t>2026-07-30 06:36:25</t>
  </si>
  <si>
    <t>5233242-28456</t>
  </si>
  <si>
    <t>58195854557448*2
45242109395208*1
45242109329672*1
45407589237000*1
58283536580872*1</t>
  </si>
  <si>
    <t>2 gommes-capuchons Shield - Noir | Pack de 2 gommes
Le Crayon Intemporel - Nuit
Le Crayon Intemporel - Carmin
Le Crayon Intemporel - Aluminium
🎁 Mines colorées (100% off) - Pack de 12 mines | 47% d'économie</t>
  </si>
  <si>
    <t>87500155881483</t>
  </si>
  <si>
    <t>2026-07-24 00:45:57</t>
  </si>
  <si>
    <t>2026-07-30 06:36:07</t>
  </si>
  <si>
    <t>5233242-28457</t>
  </si>
  <si>
    <t>Crayon*1
Gravure Personnalisée*1
 Crayon*1
Gravure Personnalisée*1
Coffret Cadeau*1
Crayon*1
Gravure Personnalisée*1
Coffret Cadeau*1
2 Gomme *1
12 Mines*1</t>
  </si>
  <si>
    <t>Le Crayon Intemporel - Carmin
Gravure Personnalisée
Le Crayon Intemporel - Aluminium
Gravure Personnalisée
Coffret Cadeau
Le Crayon Intemporel - Jade
Gravure Personnalisée
Coffret Cadeau
2 gommes-capuchons Shield - Noir | Pack de 2 gommes
🎁 Mines colorées (100% off) - Pack de 12 mines | 47% d'économie</t>
  </si>
  <si>
    <t>Jackie Perseghini</t>
  </si>
  <si>
    <t>YT2620500701142742</t>
  </si>
  <si>
    <t xml:space="preserve">Route de la Condémine 46 </t>
  </si>
  <si>
    <t>2026-07-24 03:05:25</t>
  </si>
  <si>
    <t>2026-07-26 12:30:54</t>
  </si>
  <si>
    <t>5233242-28458</t>
  </si>
  <si>
    <t>2 Gomme *1
12 Mines*1
Crayon*1</t>
  </si>
  <si>
    <t>2 gommes-capuchons Shield - Noir | Pack de 2 gommes
🎁 Mines colorées (100% off) - Pack de 12 mines | 47% d'économie
Le Crayon Intemporel - Obsidienne</t>
  </si>
  <si>
    <t>Francois Laplante</t>
  </si>
  <si>
    <t>2019317880246445</t>
  </si>
  <si>
    <t>深圳发</t>
  </si>
  <si>
    <t>7.24订单28449-28458需雕刻的铅笔已经统计</t>
  </si>
  <si>
    <t xml:space="preserve">3036 Rue Clémence Sabatté </t>
  </si>
  <si>
    <t>2026-07-24 07:59:09</t>
  </si>
  <si>
    <t>2026-07-25 12:32:07</t>
  </si>
  <si>
    <t>5233242-28459</t>
  </si>
  <si>
    <t>Crayon*1
Crayon*1
Gravure Personnalisée*1
6 mines*1
12 Mines*1
 Crayon*1</t>
  </si>
  <si>
    <t>Le Crayon Intemporel - Nuit
Le Crayon Intemporel - Obsidienne
Gravure Personnalisée
Mines colorées - Pack de 6 mines | 36% d'économie
🎁 Mines colorées (100% off) - Pack de 12 mines | 47% d'économie
Le Crayon Intemporel - Aluminium</t>
  </si>
  <si>
    <t>Nicolas Merle</t>
  </si>
  <si>
    <t>6A07344789172</t>
  </si>
  <si>
    <t>7.24订单28459已经统计</t>
  </si>
  <si>
    <t xml:space="preserve">75 bis Rue Georges Clémenceau </t>
  </si>
  <si>
    <t>2026-07-24 12:52:02</t>
  </si>
  <si>
    <t>2026-07-26 12:37:16</t>
  </si>
  <si>
    <t>5233242-28460</t>
  </si>
  <si>
    <t>Crayon*1
Crayon*1
Gravure Personnalisée*1
12 Mines*1
Crayon*1</t>
  </si>
  <si>
    <t>Le Crayon Intemporel - Carmin
Le Crayon Intemporel - Carmin
Gravure Personnalisée
🎁 Mines colorées (100% off) - Pack de 12 mines | 47% d'économie
Le Crayon Intemporel - Jade</t>
  </si>
  <si>
    <t>Julien CHAMPION</t>
  </si>
  <si>
    <t>TYZRB0014133192YQ</t>
  </si>
  <si>
    <t xml:space="preserve">4 Rue Du Pont </t>
  </si>
  <si>
    <t>2026-07-24 14:28:34</t>
  </si>
  <si>
    <t>2026-07-28 11:41:17</t>
  </si>
  <si>
    <t>5233242-28461</t>
  </si>
  <si>
    <t>4 mines*1
 Crayon*1
12 Mines*1
2 Gomme *1</t>
  </si>
  <si>
    <t>4 mines rechargeables
Le Crayon Intemporel - Aluminium
🎁 Mines colorées (100% off) - Pack de 12 mines | 47% d'économie
2 gommes-capuchons Shield - Noir | Pack de 2 gommes</t>
  </si>
  <si>
    <t>Cristian Cozari</t>
  </si>
  <si>
    <t>LX088759181NL</t>
  </si>
  <si>
    <t xml:space="preserve">10 rue du XI Novembre 1918 </t>
  </si>
  <si>
    <t>2026-07-24 20:04:02</t>
  </si>
  <si>
    <t>5233242-28462</t>
  </si>
  <si>
    <t>58274131771656*3</t>
  </si>
  <si>
    <t>Alexandre Stemplowski</t>
  </si>
  <si>
    <t>5Y 0059554667 9</t>
  </si>
  <si>
    <t>36 Bis Rue De Jemmapes Entreprise Dialex</t>
  </si>
  <si>
    <t>2026-07-24 23:03:10</t>
  </si>
  <si>
    <t>2026-07-30 06:34:10</t>
  </si>
  <si>
    <t>5233242-28463</t>
  </si>
  <si>
    <t>45242109231368*1
58283536580872*1</t>
  </si>
  <si>
    <t>Le Crayon Intemporel - Obsidienne
🎁 Mines colorées (100% off) - Pack de 12 mines | 47% d'économie</t>
  </si>
  <si>
    <t>87500156082483</t>
  </si>
  <si>
    <t>7.25订单28460-28463已经统计</t>
  </si>
  <si>
    <t xml:space="preserve">23 avenue Carnot </t>
  </si>
  <si>
    <t>2026-07-25 05:11:29</t>
  </si>
  <si>
    <t>2026-07-30 06:34:11</t>
  </si>
  <si>
    <t>5233242-28464</t>
  </si>
  <si>
    <t xml:space="preserve"> Crayon*1
Gravure Personnalisée*1
2 Gomme *2
4 mines*1
Crayon*1
Gravure Personnalisée*1
Crayon*1
Gravure Personnalisée*1
12 Mines*1</t>
  </si>
  <si>
    <t>Le Crayon Intemporel - Aluminium
Gravure Personnalisée
2 gommes-capuchons Shield - Noir | Pack de 2 gommes
4 mines rechargeables
Le Crayon Intemporel - Nuit
Gravure Personnalisée
Le Crayon Intemporel - Carmin
Gravure Personnalisée
🎁 Mines colorées (100% off) - Pack de 12 mines | 47% d'économie</t>
  </si>
  <si>
    <t>Nelly Grandbarbe</t>
  </si>
  <si>
    <t>TYZRB0014138442YQ</t>
  </si>
  <si>
    <t xml:space="preserve">14 Rue Dante </t>
  </si>
  <si>
    <t>2026-07-25 16:39:49</t>
  </si>
  <si>
    <t>2026-07-28 11:41:19</t>
  </si>
  <si>
    <t>5233242-28465</t>
  </si>
  <si>
    <t>Crayon*2
12 Mines*1</t>
  </si>
  <si>
    <t>Renée Lambert</t>
  </si>
  <si>
    <t>LD798566057BE</t>
  </si>
  <si>
    <t xml:space="preserve">Avenue Herbofin 47 bte 9 </t>
  </si>
  <si>
    <t>2026-07-25 18:48:24</t>
  </si>
  <si>
    <t>5233242-28466</t>
  </si>
  <si>
    <t>58283536580872*1
45242109296904*1</t>
  </si>
  <si>
    <t>🎁 Mines colorées (100% off) - Pack de 12 mines | 47% d'économie
Le Crayon Intemporel - Saturne</t>
  </si>
  <si>
    <t>Ivan Million</t>
  </si>
  <si>
    <t>87500156082256</t>
  </si>
  <si>
    <t xml:space="preserve">11 Hameau de Werde </t>
  </si>
  <si>
    <t>2026-07-25 20:26:03</t>
  </si>
  <si>
    <t>2026-07-30 06:34:12</t>
  </si>
  <si>
    <t>5233242-28467</t>
  </si>
  <si>
    <t>58283536580872*1
45157341331720*1</t>
  </si>
  <si>
    <t>🎁 Mines colorées (100% off) - Pack de 12 mines | 47% d'économie
Lot de 4 mines rechargeables</t>
  </si>
  <si>
    <t>Morgan Renard</t>
  </si>
  <si>
    <t>87500156081937</t>
  </si>
  <si>
    <t xml:space="preserve">13 Grande Rue </t>
  </si>
  <si>
    <t>2026-07-25 22:12:41</t>
  </si>
  <si>
    <t>2026-07-30 06:34:13</t>
  </si>
  <si>
    <t>5233242-28468</t>
  </si>
  <si>
    <t>Crayon*1
Gravure Personnalisée*1
2 Gomme *1
Crayon*1
 Crayon*1
12 Mines*1</t>
  </si>
  <si>
    <t>Le Crayon Intemporel - Obsidienne
Gravure Personnalisée
2 gommes-capuchons Shield - Noir | Pack de 2 gommes
Le Crayon Intemporel - Carmin
Le Crayon Intemporel - Aluminium
🎁 Mines colorées (100% off) - Pack de 12 mines | 47% d'économie</t>
  </si>
  <si>
    <t>Thomas Morand</t>
  </si>
  <si>
    <t>TYZRB0014140253YQ</t>
  </si>
  <si>
    <t>7  RUE DE L ABREUVOIR 201</t>
  </si>
  <si>
    <t>2026-07-26 01:15:44</t>
  </si>
  <si>
    <t>2026-07-28 11:41:21</t>
  </si>
  <si>
    <t>5233242-28469</t>
  </si>
  <si>
    <t>45407586615560*1
58195854557448*2
58283536580872*1
57754101055752*1</t>
  </si>
  <si>
    <t>4 mines rechargeables
2 gommes-capuchons Shield - Noir | Pack de 2 gommes
🎁 Mines colorées (100% off) - Pack de 12 mines | 47% d'économie
Mines colorées - Pack de 12 mines | 47% d'économie</t>
  </si>
  <si>
    <t>Marie Massot</t>
  </si>
  <si>
    <t>'87500156293934</t>
  </si>
  <si>
    <t>65 Avenue Montgomery 40</t>
  </si>
  <si>
    <t>2026-07-26 05:42:50</t>
  </si>
  <si>
    <t>2026-07-30 06:35:47</t>
  </si>
  <si>
    <t>5233242-28470</t>
  </si>
  <si>
    <t>Valentin Genevet</t>
  </si>
  <si>
    <t>TYZRB0014171708YQ</t>
  </si>
  <si>
    <t>7.26订单28464-28470需雕刻的铅笔已经统计</t>
  </si>
  <si>
    <t xml:space="preserve">377 Chemin de Jentelin </t>
  </si>
  <si>
    <t>2026-07-26 09:19:35</t>
  </si>
  <si>
    <t>2026-07-28 11:41:23</t>
  </si>
  <si>
    <t>5233242-28471</t>
  </si>
  <si>
    <t>Manon Mariel</t>
  </si>
  <si>
    <t>TYZRB0014070238YQ</t>
  </si>
  <si>
    <t xml:space="preserve">106 Rue Bellemare </t>
  </si>
  <si>
    <t>2026-07-26 17:18:23</t>
  </si>
  <si>
    <t>2026-07-28 11:41:25</t>
  </si>
  <si>
    <t>5233242-28472</t>
  </si>
  <si>
    <t>45407586615560*1
58283536580872*1
58195854557448*2</t>
  </si>
  <si>
    <t>4 mines rechargeables
🎁 Mines colorées (100% off) - Pack de 12 mines | 47% d'économie
2 gommes-capuchons Shield - Noir | Pack de 2 gommes</t>
  </si>
  <si>
    <t>sylvie pamart</t>
  </si>
  <si>
    <t>87500156080692</t>
  </si>
  <si>
    <t xml:space="preserve">2040 CROIX DU FRAYSSE </t>
  </si>
  <si>
    <t>2026-07-26 20:54:34</t>
  </si>
  <si>
    <t>2026-07-30 06:34:50</t>
  </si>
  <si>
    <t>5233242-28473</t>
  </si>
  <si>
    <t>58283536580872*1
45407586615560*1
45242109231368*1</t>
  </si>
  <si>
    <t>🎁 Mines colorées (100% off) - Pack de 12 mines | 47% d'économie
4 mines rechargeables
Le Crayon Intemporel - Obsidienne</t>
  </si>
  <si>
    <t>Leandro Silveira</t>
  </si>
  <si>
    <t>87500156292210</t>
  </si>
  <si>
    <t>7.27订单28471-28473需雕刻的铅笔已经统计</t>
  </si>
  <si>
    <t xml:space="preserve">4 RUE DES ERABLES </t>
  </si>
  <si>
    <t>2026-07-27 04:33:16</t>
  </si>
  <si>
    <t>2026-07-30 06:34:14</t>
  </si>
  <si>
    <t>5233242-28474</t>
  </si>
  <si>
    <t>2 Gomme *1
Crayon*1
Crayon*1
Coffret Cadeau*1
Coffret Cadeau*1
Crayon*1
Gravure Personnalisée*1
Coffret Cadeau*1
Crayon*1
Gravure Personnalisée*1
Coffret Cadeau*1
12 Mines*1</t>
  </si>
  <si>
    <t>2 gommes-capuchons Shield - Noir | Pack de 2 gommes
Le Crayon Intemporel - Obsidienne
Le Crayon Intemporel - Obsidienne
Coffret Cadeau
Coffret Cadeau
Le Crayon Intemporel - Obsidienne
Gravure Personnalisée
Coffret Cadeau
Le Crayon Intemporel - Nuit
Gravure Personnalisée
Coffret Cadeau
🎁 Mines colorées (100% off) - Pack de 12 mines | 47% d'économie</t>
  </si>
  <si>
    <t>Enock ESTIMABLE</t>
  </si>
  <si>
    <t>TYZRB0014169989YQ</t>
  </si>
  <si>
    <t xml:space="preserve">2 Rue De Rivoli </t>
  </si>
  <si>
    <t>2026-07-27 14:43:33</t>
  </si>
  <si>
    <t>2026-07-30 12:41:17</t>
  </si>
  <si>
    <t>5233242-28475</t>
  </si>
  <si>
    <t>45407586615560*1
58195854557448*1
58283536580872*1
45242109264136*1</t>
  </si>
  <si>
    <t>4 mines rechargeables
2 gommes-capuchons Shield - Noir | Pack de 2 gommes
🎁 Mines colorées (100% off) - Pack de 12 mines | 47% d'économie
Le Crayon Intemporel - Jade</t>
  </si>
  <si>
    <t>Stephanie Pereira</t>
  </si>
  <si>
    <t>87500156283393</t>
  </si>
  <si>
    <t xml:space="preserve">121 Rue de l’Eglise </t>
  </si>
  <si>
    <t>2026-07-27 15:37:07</t>
  </si>
  <si>
    <t>2026-07-30 07:04:29</t>
  </si>
  <si>
    <t>5233242-28476</t>
  </si>
  <si>
    <t>12 Mines*1
 Crayon*1
Gravure Personnalisée*1
Coffret Cadeau*1</t>
  </si>
  <si>
    <t>🎁 Mines colorées (100% off) - Pack de 12 mines | 47% d'économie
Le Crayon Intemporel - Aluminium
Gravure Personnalisée
Coffret Cadeau</t>
  </si>
  <si>
    <t>Romaric De nil</t>
  </si>
  <si>
    <t>TYZRB0014173392YQ</t>
  </si>
  <si>
    <t xml:space="preserve">Rue Froidebise 51 </t>
  </si>
  <si>
    <t>2026-07-27 15:52:39</t>
  </si>
  <si>
    <t>2026-07-30 12:41:19</t>
  </si>
  <si>
    <t>5233242-28477</t>
  </si>
  <si>
    <t>4 mines*1
12 Mines*1
 Crayon*1
Gravure Personnalisée*1
Coffret Cadeau*1</t>
  </si>
  <si>
    <t>4 mines rechargeables
🎁 Mines colorées (100% off) - Pack de 12 mines | 47% d'économie
Le Crayon Intemporel - Aluminium
Gravure Personnalisée
Coffret Cadeau</t>
  </si>
  <si>
    <t>Patrick Sitbon</t>
  </si>
  <si>
    <t>TYZRB0014161265YQ</t>
  </si>
  <si>
    <t>Le Moulin Borde 2100 Route de lorris</t>
  </si>
  <si>
    <t>2026-07-27 16:13:43</t>
  </si>
  <si>
    <t>2026-07-30 12:41:21</t>
  </si>
  <si>
    <t>5233242-28478</t>
  </si>
  <si>
    <t>45407586615560*1
58195854557448*1
58283536580872*1
45242109329672*1</t>
  </si>
  <si>
    <t>4 mines rechargeables
2 gommes-capuchons Shield - Noir | Pack de 2 gommes
🎁 Mines colorées (100% off) - Pack de 12 mines | 47% d'économie
Le Crayon Intemporel - Carmin</t>
  </si>
  <si>
    <t>Laurent Desmerger</t>
  </si>
  <si>
    <t>87500156072466</t>
  </si>
  <si>
    <t xml:space="preserve">22 Rue Imbart De La Tour </t>
  </si>
  <si>
    <t>2026-07-27 16:47:46</t>
  </si>
  <si>
    <t>2026-07-30 07:04:30</t>
  </si>
  <si>
    <t>5233242-28479</t>
  </si>
  <si>
    <t>58283536580872*1
45242109395208*1</t>
  </si>
  <si>
    <t>🎁 Mines colorées (100% off) - Pack de 12 mines | 47% d'économie
Le Crayon Intemporel - Nuit</t>
  </si>
  <si>
    <t>Clara Duterte</t>
  </si>
  <si>
    <t>87500156072344</t>
  </si>
  <si>
    <t>1 rue Jacques Prévert Porte droite</t>
  </si>
  <si>
    <t>2026-07-27 17:19:58</t>
  </si>
  <si>
    <t>2026-07-30 07:04:31</t>
  </si>
  <si>
    <t>5233242-28480</t>
  </si>
  <si>
    <t>Crayon*1
Gravure Personnalisée*1
12 Mines*1</t>
  </si>
  <si>
    <t>Le Crayon Intemporel - Obsidienne
Gravure Personnalisée
🎁 Mines colorées (100% off) - Pack de 12 mines | 47% d'économie</t>
  </si>
  <si>
    <t>Tristan Wicht</t>
  </si>
  <si>
    <t>YT2620900701545789</t>
  </si>
  <si>
    <t xml:space="preserve">Route D'onnens 15 </t>
  </si>
  <si>
    <t>2026-07-27 17:31:52</t>
  </si>
  <si>
    <t>2026-07-30 12:43:27</t>
  </si>
  <si>
    <t>5233242-28481</t>
  </si>
  <si>
    <t>45407586615560*1
58283536580872*1
45242109329672*1</t>
  </si>
  <si>
    <t>4 mines rechargeables
🎁 Mines colorées (100% off) - Pack de 12 mines | 47% d'économie
Le Crayon Intemporel - Carmin</t>
  </si>
  <si>
    <t>Christelle Saafi</t>
  </si>
  <si>
    <t>87500156282999</t>
  </si>
  <si>
    <t xml:space="preserve">15 Rue Jean Monnet 62510 </t>
  </si>
  <si>
    <t>2026-07-27 17:44:30</t>
  </si>
  <si>
    <t>2026-07-30 07:04:33</t>
  </si>
  <si>
    <t>5233242-28482</t>
  </si>
  <si>
    <t>12 Mines*1
Gravure Personnalisée*1
Crayon*1</t>
  </si>
  <si>
    <t>🎁 Mines colorées (100% off) - Pack de 12 mines | 47% d'économie
Gravure Personnalisée
Le Crayon Intemporel - Carmin</t>
  </si>
  <si>
    <t>Coline Mauplot</t>
  </si>
  <si>
    <t>TYZRB0014173393YQ</t>
  </si>
  <si>
    <t xml:space="preserve">46 Rue Joliot Curie </t>
  </si>
  <si>
    <t>2026-07-27 17:47:29</t>
  </si>
  <si>
    <t>2026-07-31 13:35:38</t>
  </si>
  <si>
    <t>5233242-28483</t>
  </si>
  <si>
    <t>Crayon*1
Crayon*1
2 Gomme *1
12 Mines*1
Crayon*1
Gravure Personnalisée*1
Coffret Cadeau*1</t>
  </si>
  <si>
    <t>Le Crayon Intemporel - Jade
Le Crayon Intemporel - Saturne
2 gommes-capuchons Shield - Noir | Pack de 2 gommes
🎁 Mines colorées (100% off) - Pack de 12 mines | 47% d'économie
Le Crayon Intemporel - Carmin
Gravure Personnalisée
Coffret Cadeau</t>
  </si>
  <si>
    <t>Yann Falouss</t>
  </si>
  <si>
    <t>TYZRB0014140286YQ</t>
  </si>
  <si>
    <t xml:space="preserve">3 Impasse De La Vallée </t>
  </si>
  <si>
    <t>2026-07-27 17:50:29</t>
  </si>
  <si>
    <t>2026-07-30 12:41:23</t>
  </si>
  <si>
    <t>5233242-28484</t>
  </si>
  <si>
    <t>45407586615560*1
58283536580872*1
45242109264136*1</t>
  </si>
  <si>
    <t>4 mines rechargeables
🎁 Mines colorées (100% off) - Pack de 12 mines | 47% d'économie
Le Crayon Intemporel - Jade</t>
  </si>
  <si>
    <t>didrik anne didrik anne</t>
  </si>
  <si>
    <t>87500156072176</t>
  </si>
  <si>
    <t xml:space="preserve">401 Rue Costa de Beauregard </t>
  </si>
  <si>
    <t>2026-07-27 18:12:50</t>
  </si>
  <si>
    <t>2026-07-30 07:04:34</t>
  </si>
  <si>
    <t>5233242-28485</t>
  </si>
  <si>
    <t>58283536580872*1
45242109329672*1</t>
  </si>
  <si>
    <t>🎁 Mines colorées (100% off) - Pack de 12 mines | 47% d'économie
Le Crayon Intemporel - Carmin</t>
  </si>
  <si>
    <t>Eva Banas</t>
  </si>
  <si>
    <t>87500156072103</t>
  </si>
  <si>
    <t xml:space="preserve">37 bis Rue Jean Jaurès </t>
  </si>
  <si>
    <t>2026-07-27 18:13:10</t>
  </si>
  <si>
    <t>2026-07-30 07:04:35</t>
  </si>
  <si>
    <t>5233242-28486</t>
  </si>
  <si>
    <t>45242109264136*1
58283536580872*1</t>
  </si>
  <si>
    <t>Le Crayon Intemporel - Jade
🎁 Mines colorées (100% off) - Pack de 12 mines | 47% d'économie</t>
  </si>
  <si>
    <t>Michael Heitz</t>
  </si>
  <si>
    <t>87500156071994</t>
  </si>
  <si>
    <t xml:space="preserve">61 Rue de la Grand'Font </t>
  </si>
  <si>
    <t>2026-07-27 18:19:49</t>
  </si>
  <si>
    <t>2026-07-30 07:04:36</t>
  </si>
  <si>
    <t>5233242-28487</t>
  </si>
  <si>
    <t>45242109264136*1
45242109296904*1
58283536580872*1
45242109231368*1</t>
  </si>
  <si>
    <t>Le Crayon Intemporel - Jade
Le Crayon Intemporel - Saturne
🎁 Mines colorées (100% off) - Pack de 12 mines | 47% d'économie
Le Crayon Intemporel - Obsidienne</t>
  </si>
  <si>
    <t>Pierre Gauvillé</t>
  </si>
  <si>
    <t>87500156282575</t>
  </si>
  <si>
    <t>2 Rue Pierre Jules César Guyardet Lieu Dit Kerjean</t>
  </si>
  <si>
    <t>2026-07-27 18:23:38</t>
  </si>
  <si>
    <t>2026-07-30 07:04:37</t>
  </si>
  <si>
    <t>5233242-28488</t>
  </si>
  <si>
    <t>58283536580872*1
58195854557448*3</t>
  </si>
  <si>
    <t>🎁 Mines colorées (100% off) - Pack de 12 mines | 47% d'économie
2 gommes-capuchons Shield - Noir | Pack de 2 gommes</t>
  </si>
  <si>
    <t>Maude André</t>
  </si>
  <si>
    <t>87500156282271</t>
  </si>
  <si>
    <t xml:space="preserve">1 rue des Alpes </t>
  </si>
  <si>
    <t>2026-07-27 18:28:32</t>
  </si>
  <si>
    <t>2026-07-30 07:04:38</t>
  </si>
  <si>
    <t>5233242-28489</t>
  </si>
  <si>
    <t>Fleur ARTABAN</t>
  </si>
  <si>
    <t>87500156071499</t>
  </si>
  <si>
    <t xml:space="preserve">123 Avenue Des Martyrs De La Resistance </t>
  </si>
  <si>
    <t>2026-07-27 18:31:58</t>
  </si>
  <si>
    <t>2026-07-30 07:04:39</t>
  </si>
  <si>
    <t>5233242-28490</t>
  </si>
  <si>
    <t>2 Gomme *1
12 Mines*1
Crayon*1
Gravure Personnalisée*1
Coffret Cadeau*1</t>
  </si>
  <si>
    <t>2 gommes-capuchons Shield - Noir | Pack de 2 gommes
🎁 Mines colorées (100% off) - Pack de 12 mines | 47% d'économie
Le Crayon Intemporel - Nuit
Gravure Personnalisée
Coffret Cadeau</t>
  </si>
  <si>
    <t>Marina Tschanz</t>
  </si>
  <si>
    <t>YT2620900706249148</t>
  </si>
  <si>
    <t xml:space="preserve">Rue Davall 2 </t>
  </si>
  <si>
    <t>2026-07-27 18:46:13</t>
  </si>
  <si>
    <t>2026-07-31 11:41:20</t>
  </si>
  <si>
    <t>5233242-28491</t>
  </si>
  <si>
    <t>12 Mines*1
4 mines*3
2 Gomme *2</t>
  </si>
  <si>
    <t>🎁 Mines colorées (100% off) - Pack de 12 mines | 47% d'économie
4 mines rechargeables
2 gommes-capuchons Shield - Noir | Pack de 2 gommes</t>
  </si>
  <si>
    <t>Marie-Ève Gélinas</t>
  </si>
  <si>
    <t>2019317133674452</t>
  </si>
  <si>
    <t xml:space="preserve">5355 Av Nicolas Giroux </t>
  </si>
  <si>
    <t>2026-07-27 19:02:04</t>
  </si>
  <si>
    <t>2026-07-31 11:52:33</t>
  </si>
  <si>
    <t>5233242-28492</t>
  </si>
  <si>
    <t>58283536580872*1
45242109264136*1</t>
  </si>
  <si>
    <t>🎁 Mines colorées (100% off) - Pack de 12 mines | 47% d'économie
Le Crayon Intemporel - Jade</t>
  </si>
  <si>
    <t>Sebastien Girard</t>
  </si>
  <si>
    <t>87500156281822</t>
  </si>
  <si>
    <t>85 Boulevard de la République Appartement 9</t>
  </si>
  <si>
    <t>2026-07-27 19:08:47</t>
  </si>
  <si>
    <t>2026-07-30 07:04:40</t>
  </si>
  <si>
    <t>5233242-28493</t>
  </si>
  <si>
    <t>Elise Germond</t>
  </si>
  <si>
    <t>87500156070929</t>
  </si>
  <si>
    <t xml:space="preserve">7 Allee des Vignes du Clos </t>
  </si>
  <si>
    <t>2026-07-27 19:21:43</t>
  </si>
  <si>
    <t>2026-07-30 07:04:42</t>
  </si>
  <si>
    <t>5233242-28494</t>
  </si>
  <si>
    <t>45242109329672*1
52838739738888*1
45407586615560*1
58274131771656*1
58283536580872*1
58195854557448*1</t>
  </si>
  <si>
    <t>Le Crayon Intemporel - Carmin
Coffret Cadeau
4 mines rechargeables
Le Carnet Parfait
🎁 Mines colorées (100% off) - Pack de 12 mines | 47% d'économie
2 gommes-capuchons Shield - Noir | Pack de 2 gommes</t>
  </si>
  <si>
    <t>Thomas Bredel</t>
  </si>
  <si>
    <t>5Y 0059562464 3</t>
  </si>
  <si>
    <t>12 Allée des Eiders Bâtiment 12</t>
  </si>
  <si>
    <t>2026-07-27 19:24:40</t>
  </si>
  <si>
    <t>2026-07-30 07:04:43</t>
  </si>
  <si>
    <t>5233242-28495</t>
  </si>
  <si>
    <t>Eylora Guidetti</t>
  </si>
  <si>
    <t>87500156281270</t>
  </si>
  <si>
    <t xml:space="preserve">1 Avenue Pierre Sémard </t>
  </si>
  <si>
    <t>2026-07-27 19:25:58</t>
  </si>
  <si>
    <t>2026-07-30 07:04:44</t>
  </si>
  <si>
    <t>5233242-28496</t>
  </si>
  <si>
    <t>Stephan Caubit</t>
  </si>
  <si>
    <t>87500156070500</t>
  </si>
  <si>
    <t xml:space="preserve">22\, Avenue Debrousse </t>
  </si>
  <si>
    <t>2026-07-27 19:42:32</t>
  </si>
  <si>
    <t>2026-07-30 07:04:45</t>
  </si>
  <si>
    <t>5233242-28497</t>
  </si>
  <si>
    <t>CLARA MERCIER</t>
  </si>
  <si>
    <t>87500156070341</t>
  </si>
  <si>
    <t xml:space="preserve">21 RUE DES MARRONNIERS </t>
  </si>
  <si>
    <t>2026-07-27 19:44:21</t>
  </si>
  <si>
    <t>2026-07-30 07:04:46</t>
  </si>
  <si>
    <t>5233242-28498</t>
  </si>
  <si>
    <t>87500156070237</t>
  </si>
  <si>
    <t xml:space="preserve">121,rue de l'église </t>
  </si>
  <si>
    <t>2026-07-27 19:45:20</t>
  </si>
  <si>
    <t>2026-07-30 07:04:47</t>
  </si>
  <si>
    <t>5233242-28499</t>
  </si>
  <si>
    <t>58283536580872*1
45407589237000*1</t>
  </si>
  <si>
    <t>🎁 Mines colorées (100% off) - Pack de 12 mines | 47% d'économie
Le Crayon Intemporel - Aluminium</t>
  </si>
  <si>
    <t>Arthur Bataille</t>
  </si>
  <si>
    <t>87500156280680</t>
  </si>
  <si>
    <t xml:space="preserve">3 rue des églantiers </t>
  </si>
  <si>
    <t>2026-07-27 19:57:39</t>
  </si>
  <si>
    <t>2026-07-30 07:04:48</t>
  </si>
  <si>
    <t>5233242-28500</t>
  </si>
  <si>
    <t>Pierre-Edouard Delacroix Prudhomme</t>
  </si>
  <si>
    <t>TYZRB0014171780YQ</t>
  </si>
  <si>
    <t xml:space="preserve">64 Rue Jean Mermoz </t>
  </si>
  <si>
    <t>2026-07-27 20:06:18</t>
  </si>
  <si>
    <t>2026-07-30 12:41:25</t>
  </si>
  <si>
    <t>5233242-28501</t>
  </si>
  <si>
    <t>12 Mines*1
 Crayon*1</t>
  </si>
  <si>
    <t>Nael Baumann</t>
  </si>
  <si>
    <t>YT2620900701348028</t>
  </si>
  <si>
    <t xml:space="preserve">Rue du Closel 5 </t>
  </si>
  <si>
    <t>2026-07-27 20:28:10</t>
  </si>
  <si>
    <t>2026-07-31 11:41:22</t>
  </si>
  <si>
    <t>5233242-28502</t>
  </si>
  <si>
    <t>45407589237000*1
45242109231368*1
58283536580872*1
45242109264136*1</t>
  </si>
  <si>
    <t>Le Crayon Intemporel - Aluminium
Le Crayon Intemporel - Obsidienne
🎁 Mines colorées (100% off) - Pack de 12 mines | 47% d'économie
Le Crayon Intemporel - Jade</t>
  </si>
  <si>
    <t>Ewan Leger</t>
  </si>
  <si>
    <t>87500156280589</t>
  </si>
  <si>
    <t xml:space="preserve">97 Rue du Creusot </t>
  </si>
  <si>
    <t>2026-07-27 21:05:29</t>
  </si>
  <si>
    <t>2026-07-30 07:04:49</t>
  </si>
  <si>
    <t>5233242-28503</t>
  </si>
  <si>
    <t>49624579604744*2
45407586615560*1
58283536580872*1
45407589237000*2
45407589237000*1</t>
  </si>
  <si>
    <t>Mines colorées - Vert
4 mines rechargeables
🎁 Mines colorées (100% off) - Pack de 12 mines | 47% d'économie
Le Crayon Intemporel - Aluminium
Le Crayon Intemporel - Aluminium</t>
  </si>
  <si>
    <t>Bedelet Jérôme</t>
  </si>
  <si>
    <t>87500156069908</t>
  </si>
  <si>
    <t>17 rue de Montbrillant 17 rue de Montbrillant</t>
  </si>
  <si>
    <t>2026-07-27 21:14:03</t>
  </si>
  <si>
    <t>2026-07-30 07:04:51</t>
  </si>
  <si>
    <t>5233242-28504</t>
  </si>
  <si>
    <t>45242109264136*1
45242109231368*1
58283536580872*1
45242109329672*1</t>
  </si>
  <si>
    <t>Le Crayon Intemporel - Jade
Le Crayon Intemporel - Obsidienne
🎁 Mines colorées (100% off) - Pack de 12 mines | 47% d'économie
Le Crayon Intemporel - Carmin</t>
  </si>
  <si>
    <t>Jean-Christophe Ney</t>
  </si>
  <si>
    <t>87500156280244</t>
  </si>
  <si>
    <t xml:space="preserve">9 place sainte anne </t>
  </si>
  <si>
    <t>2026-07-27 21:28:03</t>
  </si>
  <si>
    <t>2026-07-30 06:51:21</t>
  </si>
  <si>
    <t>5233242-28505</t>
  </si>
  <si>
    <t>Christophe BÉLONIE</t>
  </si>
  <si>
    <t>87500156280096</t>
  </si>
  <si>
    <t xml:space="preserve">58 Boulevard Gambetta </t>
  </si>
  <si>
    <t>2026-07-27 21:52:32</t>
  </si>
  <si>
    <t>2026-07-30 06:51:22</t>
  </si>
  <si>
    <t>5233242-28506</t>
  </si>
  <si>
    <t>45242109329672*1
52838739738888*1
58195854557448*1
58283536580872*1</t>
  </si>
  <si>
    <t>Le Crayon Intemporel - Carmin
Coffret Cadeau
2 gommes-capuchons Shield - Noir | Pack de 2 gommes
🎁 Mines colorées (100% off) - Pack de 12 mines | 47% d'économie</t>
  </si>
  <si>
    <t>Dorian Gode</t>
  </si>
  <si>
    <t>87500156069445</t>
  </si>
  <si>
    <t xml:space="preserve">4 Rue Le Corbusier </t>
  </si>
  <si>
    <t>2026-07-27 22:02:16</t>
  </si>
  <si>
    <t>2026-07-30 06:55:43</t>
  </si>
  <si>
    <t>5233242-28507</t>
  </si>
  <si>
    <t>58195854557448*1
45407589237000*1
45242109329672*1
58283536580872*1
45242109296904*1</t>
  </si>
  <si>
    <t>2 gommes-capuchons Shield - Noir | Pack de 2 gommes
Le Crayon Intemporel - Aluminium
Le Crayon Intemporel - Carmin
🎁 Mines colorées (100% off) - Pack de 12 mines | 47% d'économie
Le Crayon Intemporel - Saturne</t>
  </si>
  <si>
    <t>Léa MONDIN</t>
  </si>
  <si>
    <t>87500156279626</t>
  </si>
  <si>
    <t xml:space="preserve">56 bis rue du stade </t>
  </si>
  <si>
    <t>2026-07-27 22:06:29</t>
  </si>
  <si>
    <t>2026-07-30 06:55:44</t>
  </si>
  <si>
    <t>5233242-28508</t>
  </si>
  <si>
    <t>12 Mines*1
4 mines*1
Crayon*1</t>
  </si>
  <si>
    <t>🎁 Mines colorées (100% off) - Pack de 12 mines | 47% d'économie
4 mines rechargeables
Le Crayon Intemporel - Carmin</t>
  </si>
  <si>
    <t>Luis Herrera Segovia</t>
  </si>
  <si>
    <t>2019317133675459</t>
  </si>
  <si>
    <t xml:space="preserve">495 Rue Josiane </t>
  </si>
  <si>
    <t>2026-07-27 22:07:21</t>
  </si>
  <si>
    <t>2026-07-31 11:52:34</t>
  </si>
  <si>
    <t>5233242-28509</t>
  </si>
  <si>
    <t>2 Gomme *1
Crayon*1
Crayon*1
12 Mines*1
Crayon*1</t>
  </si>
  <si>
    <t>2 gommes-capuchons Shield - Noir | Pack de 2 gommes
Le Crayon Intemporel - Obsidienne
Le Crayon Intemporel - Nuit
🎁 Mines colorées (100% off) - Pack de 12 mines | 47% d'économie
Le Crayon Intemporel - Carmin</t>
  </si>
  <si>
    <t>Aurelie Beghin</t>
  </si>
  <si>
    <t>TYZRB0014135023YQ</t>
  </si>
  <si>
    <t xml:space="preserve">Guldenzandstraat 18 </t>
  </si>
  <si>
    <t>2026-07-27 22:25:47</t>
  </si>
  <si>
    <t>2026-07-28 11:41:26</t>
  </si>
  <si>
    <t>5233242-28510</t>
  </si>
  <si>
    <t>Crayon*1
Gravure Personnalisée*1
Crayon*1
Gravure Personnalisée*1
Crayon*1
Gravure Personnalisée*1
2 Gomme *1
12 Mines*1</t>
  </si>
  <si>
    <t>Le Crayon Intemporel - Saturne
Gravure Personnalisée
Le Crayon Intemporel - Carmin
Gravure Personnalisée
Le Crayon Intemporel - Jade
Gravure Personnalisée
2 gommes-capuchons Shield - Noir | Pack de 2 gommes
🎁 Mines colorées (100% off) - Pack de 12 mines | 47% d'économie</t>
  </si>
  <si>
    <t>Joey Desormeau</t>
  </si>
  <si>
    <t>TYZRB0014169990YQ</t>
  </si>
  <si>
    <t xml:space="preserve">25 Allée Pierre Abélard </t>
  </si>
  <si>
    <t>2026-07-27 22:27:50</t>
  </si>
  <si>
    <t>2026-07-30 12:41:27</t>
  </si>
  <si>
    <t>5233242-28511</t>
  </si>
  <si>
    <t>Crayon*1
Crayon*1
4 mines*1
2 Gomme *1
12 Mines*1
Crayon*1
Gravure Personnalisée*1</t>
  </si>
  <si>
    <t>Le Crayon Intemporel - Nuit
Le Crayon Intemporel - Carmin
4 mines rechargeables
2 gommes-capuchons Shield - Noir | Pack de 2 gommes
🎁 Mines colorées (100% off) - Pack de 12 mines | 47% d'économie
Le Crayon Intemporel - Obsidienne
Gravure Personnalisée</t>
  </si>
  <si>
    <t>Etienne Devliegher</t>
  </si>
  <si>
    <t>LD798940928BE</t>
  </si>
  <si>
    <t xml:space="preserve">Rue Bois De Mont 255 </t>
  </si>
  <si>
    <t>2026-07-27 22:28:11</t>
  </si>
  <si>
    <t>2026-07-31 11:46:20</t>
  </si>
  <si>
    <t>5233242-28512</t>
  </si>
  <si>
    <t>58283536580872*1
45242109329672*1
58195854557448*1</t>
  </si>
  <si>
    <t>🎁 Mines colorées (100% off) - Pack de 12 mines | 47% d'économie
Le Crayon Intemporel - Carmin
2 gommes-capuchons Shield - Noir | Pack de 2 gommes</t>
  </si>
  <si>
    <t>Colas Philibert</t>
  </si>
  <si>
    <t>87500156068746</t>
  </si>
  <si>
    <t xml:space="preserve">16 Rue De meaux </t>
  </si>
  <si>
    <t>2026-07-27 22:33:56</t>
  </si>
  <si>
    <t>2026-07-30 06:55:46</t>
  </si>
  <si>
    <t>5233242-28513</t>
  </si>
  <si>
    <t>Anaelle Badertscher</t>
  </si>
  <si>
    <t>87500156279039</t>
  </si>
  <si>
    <t xml:space="preserve">1333 Route Du Saleve </t>
  </si>
  <si>
    <t>2026-07-27 22:37:12</t>
  </si>
  <si>
    <t>2026-07-30 06:51:23</t>
  </si>
  <si>
    <t>5233242-28514</t>
  </si>
  <si>
    <t>45407586615560*1
58195854557448*1
45242109231368*1
45407589237000*1
58283536580872*1
45242109329672*1</t>
  </si>
  <si>
    <t>4 mines rechargeables
2 gommes-capuchons Shield - Noir | Pack de 2 gommes
Le Crayon Intemporel - Obsidienne
Le Crayon Intemporel - Aluminium
🎁 Mines colorées (100% off) - Pack de 12 mines | 47% d'économie
Le Crayon Intemporel - Carmin</t>
  </si>
  <si>
    <t>Laurent LEFEBVRE</t>
  </si>
  <si>
    <t>87500156068414</t>
  </si>
  <si>
    <t xml:space="preserve">22 Rue Newton </t>
  </si>
  <si>
    <t>2026-07-27 22:50:18</t>
  </si>
  <si>
    <t>2026-07-30 06:55:47</t>
  </si>
  <si>
    <t>5233242-28515</t>
  </si>
  <si>
    <t>Jacques Lemaire</t>
  </si>
  <si>
    <t>87500156278622</t>
  </si>
  <si>
    <t xml:space="preserve">3 Allée des Orangers </t>
  </si>
  <si>
    <t>2026-07-27 22:54:21</t>
  </si>
  <si>
    <t>2026-07-30 06:51:24</t>
  </si>
  <si>
    <t>5233242-28516</t>
  </si>
  <si>
    <t>Guillaume Lousteau</t>
  </si>
  <si>
    <t>87500156278475</t>
  </si>
  <si>
    <t>9 Lieu-dit Buisson Cabinet paramédical</t>
  </si>
  <si>
    <t>2026-07-27 23:13:46</t>
  </si>
  <si>
    <t>2026-07-30 06:51:25</t>
  </si>
  <si>
    <t>5233242-28517</t>
  </si>
  <si>
    <t>58195854557448*1
45242109395208*1
45242109329672*1
58283536580872*1
45242109231368*1</t>
  </si>
  <si>
    <t>2 gommes-capuchons Shield - Noir | Pack de 2 gommes
Le Crayon Intemporel - Nuit
Le Crayon Intemporel - Carmin
🎁 Mines colorées (100% off) - Pack de 12 mines | 47% d'économie
Le Crayon Intemporel - Obsidienne</t>
  </si>
  <si>
    <t>HEIDI LEVET</t>
  </si>
  <si>
    <t>87500156067733</t>
  </si>
  <si>
    <t xml:space="preserve">215 rue de la Maladière </t>
  </si>
  <si>
    <t>2026-07-28 00:03:32</t>
  </si>
  <si>
    <t>2026-07-30 06:55:48</t>
  </si>
  <si>
    <t>5233242-28518</t>
  </si>
  <si>
    <t>58195854557448*1
45407586615560*1
58283536580872*1
45407589237000*1</t>
  </si>
  <si>
    <t>2 gommes-capuchons Shield - Noir | Pack de 2 gommes
4 mines rechargeables
🎁 Mines colorées (100% off) - Pack de 12 mines | 47% d'économie
Le Crayon Intemporel - Aluminium</t>
  </si>
  <si>
    <t>Isabelle brault</t>
  </si>
  <si>
    <t>87500156278026</t>
  </si>
  <si>
    <t xml:space="preserve">19 chemin de la berterie </t>
  </si>
  <si>
    <t>2026-07-28 00:30:04</t>
  </si>
  <si>
    <t>2026-07-30 06:55:49</t>
  </si>
  <si>
    <t>5233242-28519</t>
  </si>
  <si>
    <t>49624579571976*1
58195854557448*1
58283536580872*1
45242109296904*1</t>
  </si>
  <si>
    <t>Mines colorées - Rouge
2 gommes-capuchons Shield - Noir | Pack de 2 gommes
🎁 Mines colorées (100% off) - Pack de 12 mines | 47% d'économie
Le Crayon Intemporel - Saturne</t>
  </si>
  <si>
    <t>Nathalie Breulles</t>
  </si>
  <si>
    <t>87500156277907</t>
  </si>
  <si>
    <t xml:space="preserve">10 Rue Henri Destruhaut </t>
  </si>
  <si>
    <t>2026-07-28 00:36:05</t>
  </si>
  <si>
    <t>2026-07-30 06:55:51</t>
  </si>
  <si>
    <t>5233242-28520</t>
  </si>
  <si>
    <t>Tristan Lebaupin</t>
  </si>
  <si>
    <t>87500156277703</t>
  </si>
  <si>
    <t xml:space="preserve">18 Rue du Doilarde </t>
  </si>
  <si>
    <t>2026-07-28 00:47:51</t>
  </si>
  <si>
    <t>2026-07-30 06:51:27</t>
  </si>
  <si>
    <t>5233242-28521</t>
  </si>
  <si>
    <t>Julien Chesnais</t>
  </si>
  <si>
    <t>87500156067100</t>
  </si>
  <si>
    <t xml:space="preserve">31 Rue du Docteur Boubée </t>
  </si>
  <si>
    <t>2026-07-28 00:54:37</t>
  </si>
  <si>
    <t>2026-07-30 06:51:28</t>
  </si>
  <si>
    <t>5233242-28522</t>
  </si>
  <si>
    <t>Le Crayon Intemporel - Nuit
Gravure Personnalisée
🎁 Mines colorées (100% off) - Pack de 12 mines | 47% d'économie</t>
  </si>
  <si>
    <t>Elisabeth Jeanniard</t>
  </si>
  <si>
    <t>TYZRB0014142062YQ</t>
  </si>
  <si>
    <t>28 rue de breuil Maison</t>
  </si>
  <si>
    <t>2026-07-28 01:16:16</t>
  </si>
  <si>
    <t>2026-07-30 12:41:29</t>
  </si>
  <si>
    <t>5233242-28523</t>
  </si>
  <si>
    <t>4 mines*1
12 Mines*1
Crayon*1
Gravure Personnalisée*1
Coffret Cadeau*1</t>
  </si>
  <si>
    <t>4 mines rechargeables
🎁 Mines colorées (100% off) - Pack de 12 mines | 47% d'économie
Le Crayon Intemporel - Carmin
Gravure Personnalisée
Coffret Cadeau</t>
  </si>
  <si>
    <t>Gautier Ramet</t>
  </si>
  <si>
    <t>TYZRB0014140288YQ</t>
  </si>
  <si>
    <t xml:space="preserve">3 Rue du Vieux Mont </t>
  </si>
  <si>
    <t>2026-07-28 01:45:33</t>
  </si>
  <si>
    <t>2026-07-30 12:41:31</t>
  </si>
  <si>
    <t>5233242-28524</t>
  </si>
  <si>
    <t>45242109264136*1
45242109329672*1
58195854557448*1
58283536580872*1
45242109296904*1</t>
  </si>
  <si>
    <t>Le Crayon Intemporel - Jade
Le Crayon Intemporel - Carmin
2 gommes-capuchons Shield - Noir | Pack de 2 gommes
🎁 Mines colorées (100% off) - Pack de 12 mines | 47% d'économie
Le Crayon Intemporel - Saturne</t>
  </si>
  <si>
    <t>Xavier Crucé</t>
  </si>
  <si>
    <t>87500156277296</t>
  </si>
  <si>
    <t>1 Chemin De La Caoule Buglose</t>
  </si>
  <si>
    <t>2026-07-28 02:18:28</t>
  </si>
  <si>
    <t>2026-07-30 06:55:52</t>
  </si>
  <si>
    <t>5233242-28525</t>
  </si>
  <si>
    <t>45407589237000*1
45242109264136*1
58283536580872*1
45242109231368*1</t>
  </si>
  <si>
    <t>Le Crayon Intemporel - Aluminium
Le Crayon Intemporel - Jade
🎁 Mines colorées (100% off) - Pack de 12 mines | 47% d'économie
Le Crayon Intemporel - Obsidienne</t>
  </si>
  <si>
    <t>liam salaun</t>
  </si>
  <si>
    <t>87500156277025</t>
  </si>
  <si>
    <t xml:space="preserve">38 Rue de la Fontaine St-Malo </t>
  </si>
  <si>
    <t>2026-07-28 02:21:24</t>
  </si>
  <si>
    <t>2026-07-30 06:51:29</t>
  </si>
  <si>
    <t>5233242-28526</t>
  </si>
  <si>
    <t>Crayon*2
Gravure Personnalisée*2
Coffret Cadeau*2
2 Gomme *1
12 Mines*1
 Crayon*1
Gravure Personnalisée*1
Coffret Cadeau*1</t>
  </si>
  <si>
    <t>Le Crayon Intemporel - Jade
Gravure Personnalisée
Coffret Cadeau
2 gommes-capuchons Shield - Noir | Pack de 2 gommes
🎁 Mines colorées (100% off) - Pack de 12 mines | 47% d'économie
Le Crayon Intemporel - Aluminium
Gravure Personnalisée
Coffret Cadeau</t>
  </si>
  <si>
    <t>Sandra Grelet</t>
  </si>
  <si>
    <t>TYZRB0014171779YQ</t>
  </si>
  <si>
    <t>68 Avenue Victor Hugo Porte Marron</t>
  </si>
  <si>
    <t>2026-07-28 02:42:07</t>
  </si>
  <si>
    <t>2026-07-30 12:41:32</t>
  </si>
  <si>
    <t>5233242-28527</t>
  </si>
  <si>
    <t>maelle Seychelles</t>
  </si>
  <si>
    <t>87500156066320</t>
  </si>
  <si>
    <t xml:space="preserve">70 Enclos Claude Costes </t>
  </si>
  <si>
    <t>2026-07-28 03:03:50</t>
  </si>
  <si>
    <t>2026-07-30 06:51:30</t>
  </si>
  <si>
    <t>5233242-28528</t>
  </si>
  <si>
    <t>Crayon*1
 Crayon*1
2 Gomme *1
12 Mines*1
 Crayon*1
Gravure Personnalisée*1</t>
  </si>
  <si>
    <t>Le Crayon Intemporel - Nuit
Le Crayon Intemporel - Aluminium
2 gommes-capuchons Shield - Noir | Pack de 2 gommes
🎁 Mines colorées (100% off) - Pack de 12 mines | 47% d'économie
Le Crayon Intemporel - Aluminium
Gravure Personnalisée</t>
  </si>
  <si>
    <t>Deborah dang</t>
  </si>
  <si>
    <t>TYZRB0014140287YQ</t>
  </si>
  <si>
    <t xml:space="preserve">30 Rue du Guimand </t>
  </si>
  <si>
    <t>2026-07-28 03:05:41</t>
  </si>
  <si>
    <t>2026-07-30 12:41:35</t>
  </si>
  <si>
    <t>5233242-28529</t>
  </si>
  <si>
    <t>Lucas FLORES</t>
  </si>
  <si>
    <t>87500156276524</t>
  </si>
  <si>
    <t xml:space="preserve">25 Rue DU Moulin </t>
  </si>
  <si>
    <t>2026-07-28 03:12:48</t>
  </si>
  <si>
    <t>2026-07-30 06:51:31</t>
  </si>
  <si>
    <t>5233242-28530</t>
  </si>
  <si>
    <t>THIERRY MARX</t>
  </si>
  <si>
    <t>87500156065863</t>
  </si>
  <si>
    <t>11 Rue MARIOTTE Rdc</t>
  </si>
  <si>
    <t>2026-07-28 03:18:28</t>
  </si>
  <si>
    <t>2026-07-30 06:51:32</t>
  </si>
  <si>
    <t>5233242-28531</t>
  </si>
  <si>
    <t>45242109329672*1
45407586615560*1
58283536580872*1</t>
  </si>
  <si>
    <t>Le Crayon Intemporel - Carmin
4 mines rechargeables
🎁 Mines colorées (100% off) - Pack de 12 mines | 47% d'économie</t>
  </si>
  <si>
    <t>Jerome Bousselaire</t>
  </si>
  <si>
    <t>87500156275525</t>
  </si>
  <si>
    <t xml:space="preserve">18 Rue Du Bois Cordieu </t>
  </si>
  <si>
    <t>2026-07-28 03:21:01</t>
  </si>
  <si>
    <t>2026-07-30 06:51:33</t>
  </si>
  <si>
    <t>5233242-28532</t>
  </si>
  <si>
    <t>12 Mines*1
Crayon*1</t>
  </si>
  <si>
    <t>Michael Petit</t>
  </si>
  <si>
    <t>TYZRB0014169979YQ</t>
  </si>
  <si>
    <t xml:space="preserve">Sentier de l'Hayette 12 </t>
  </si>
  <si>
    <t>2026-07-28 03:29:27</t>
  </si>
  <si>
    <t>2026-07-28 11:41:28</t>
  </si>
  <si>
    <t>5233242-28533</t>
  </si>
  <si>
    <t>2 Gomme *1
 Crayon*1
Gravure Personnalisée*1
12 Mines*1</t>
  </si>
  <si>
    <t>2 gommes-capuchons Shield - Noir | Pack de 2 gommes
Le Crayon Intemporel - Aluminium
Gravure Personnalisée
🎁 Mines colorées (100% off) - Pack de 12 mines | 47% d'économie</t>
  </si>
  <si>
    <t>Corine Redondo</t>
  </si>
  <si>
    <t>YT2620900701545912</t>
  </si>
  <si>
    <t xml:space="preserve">Rue Jâmes-Paris 3 </t>
  </si>
  <si>
    <t>2026-07-28 03:35:22</t>
  </si>
  <si>
    <t>2026-07-31 11:41:23</t>
  </si>
  <si>
    <t>5233242-28534</t>
  </si>
  <si>
    <t>4 mines*1
12 Mines*1
Crayon*2</t>
  </si>
  <si>
    <t>Timothée Detollenaere</t>
  </si>
  <si>
    <t>TYZRB0014133220YQ</t>
  </si>
  <si>
    <t>Boulevard des Déportés 2 Photo Mil</t>
  </si>
  <si>
    <t>2026-07-28 03:40:22</t>
  </si>
  <si>
    <t>2026-07-28 11:41:29</t>
  </si>
  <si>
    <t>5233242-28535</t>
  </si>
  <si>
    <t>Crayon*1
Crayon*1
12 Mines*1
Crayon*1</t>
  </si>
  <si>
    <t>Le Crayon Intemporel - Saturne
Le Crayon Intemporel - Nuit
🎁 Mines colorées (100% off) - Pack de 12 mines | 47% d'économie
Le Crayon Intemporel - Carmin</t>
  </si>
  <si>
    <t>Cyril Verzele</t>
  </si>
  <si>
    <t>TYZRB0014138473YQ</t>
  </si>
  <si>
    <t xml:space="preserve">Rue du Tour 32A </t>
  </si>
  <si>
    <t>2026-07-28 04:04:22</t>
  </si>
  <si>
    <t>2026-07-28 11:41:30</t>
  </si>
  <si>
    <t>5233242-28536</t>
  </si>
  <si>
    <t>45242109329672*1
45407589237000*1
58195854557448*1
58283536580872*1
45242109231368*1</t>
  </si>
  <si>
    <t>Le Crayon Intemporel - Carmin
Le Crayon Intemporel - Aluminium
2 gommes-capuchons Shield - Noir | Pack de 2 gommes
🎁 Mines colorées (100% off) - Pack de 12 mines | 47% d'économie
Le Crayon Intemporel - Obsidienne</t>
  </si>
  <si>
    <t>Julien Cavalier</t>
  </si>
  <si>
    <t>87500156275131</t>
  </si>
  <si>
    <t xml:space="preserve">31 Rue Pied de Ville </t>
  </si>
  <si>
    <t>2026-07-28 04:22:23</t>
  </si>
  <si>
    <t>2026-07-30 06:55:53</t>
  </si>
  <si>
    <t>5233242-28537</t>
  </si>
  <si>
    <t>45407586615560*1
58283536580872*1
45242109395208*2
45242109395208*1</t>
  </si>
  <si>
    <t>4 mines rechargeables
🎁 Mines colorées (100% off) - Pack de 12 mines | 47% d'économie
Le Crayon Intemporel - Nuit
Le Crayon Intemporel - Nuit</t>
  </si>
  <si>
    <t>Thibaut Stroobants</t>
  </si>
  <si>
    <t>87500156274550</t>
  </si>
  <si>
    <t xml:space="preserve">46 Rue Jacques Prevert </t>
  </si>
  <si>
    <t>2026-07-28 04:54:50</t>
  </si>
  <si>
    <t>2026-07-30 06:51:34</t>
  </si>
  <si>
    <t>5233242-28538</t>
  </si>
  <si>
    <t>Sandy Pichot</t>
  </si>
  <si>
    <t>87500156064215</t>
  </si>
  <si>
    <t xml:space="preserve">25 CHEMIN DES CHARMILLES </t>
  </si>
  <si>
    <t>2026-07-28 05:02:25</t>
  </si>
  <si>
    <t>2026-07-30 06:51:35</t>
  </si>
  <si>
    <t>5233242-28539</t>
  </si>
  <si>
    <t>2 gommes-capuchons Shield - Noir | Pack de 2 gommes
🎁 Mines colorées (100% off) - Pack de 12 mines | 47% d'économie
Le Crayon Intemporel - Obsidienne
Gravure Personnalisée</t>
  </si>
  <si>
    <t>Gianni Cilluffo</t>
  </si>
  <si>
    <t>TYZRB0014166534YQ</t>
  </si>
  <si>
    <t xml:space="preserve">50 Rue Fernand Rambert </t>
  </si>
  <si>
    <t>2026-07-28 05:33:08</t>
  </si>
  <si>
    <t>2026-07-30 12:41:37</t>
  </si>
  <si>
    <t>5233242-28540</t>
  </si>
  <si>
    <t>4 mines*1
12 Mines*1
Crayon*1
Gravure Personnalisée*1</t>
  </si>
  <si>
    <t>4 mines rechargeables
🎁 Mines colorées (100% off) - Pack de 12 mines | 47% d'économie
Le Crayon Intemporel - Obsidienne
Gravure Personnalisée</t>
  </si>
  <si>
    <t>Florian Antunes</t>
  </si>
  <si>
    <t>TYZRB0014131421YQ</t>
  </si>
  <si>
    <t xml:space="preserve">108 route du bin </t>
  </si>
  <si>
    <t>2026-07-28 05:33:51</t>
  </si>
  <si>
    <t>2026-07-30 12:41:38</t>
  </si>
  <si>
    <t>5233242-28541</t>
  </si>
  <si>
    <t>Arnaud Alexandre</t>
  </si>
  <si>
    <t>87500156274072</t>
  </si>
  <si>
    <t xml:space="preserve">1 Rue des Acacias </t>
  </si>
  <si>
    <t>2026-07-28 05:43:04</t>
  </si>
  <si>
    <t>2026-07-30 06:55:54</t>
  </si>
  <si>
    <t>5233242-28542</t>
  </si>
  <si>
    <t>4 mines*2
2 Gomme *2
Crayon*1
Crayon*1
12 Mines*1
Crayon*1
6 mines*1</t>
  </si>
  <si>
    <t>4 mines rechargeables
2 gommes-capuchons Shield - Noir | Pack de 2 gommes
Le Crayon Intemporel - Saturne
Le Crayon Intemporel - Obsidienne
🎁 Mines colorées (100% off) - Pack de 12 mines | 47% d'économie
Le Crayon Intemporel - Carmin
Mines colorées - Pack de 6 mines | 36% d'économie</t>
  </si>
  <si>
    <t>François Conne</t>
  </si>
  <si>
    <t>YT2620900701348085</t>
  </si>
  <si>
    <t xml:space="preserve">Lärchenweg 42 </t>
  </si>
  <si>
    <t>2026-07-28 05:49:06</t>
  </si>
  <si>
    <t>2026-07-28 11:41:31</t>
  </si>
  <si>
    <t>5233242-28543</t>
  </si>
  <si>
    <t>58195854557448*1
45407589237000*1
45242109296904*1
58283536580872*1
45242109264136*1</t>
  </si>
  <si>
    <t>2 gommes-capuchons Shield - Noir | Pack de 2 gommes
Le Crayon Intemporel - Aluminium
Le Crayon Intemporel - Saturne
🎁 Mines colorées (100% off) - Pack de 12 mines | 47% d'économie
Le Crayon Intemporel - Jade</t>
  </si>
  <si>
    <t>lucie demolin</t>
  </si>
  <si>
    <t>87500156273656</t>
  </si>
  <si>
    <t xml:space="preserve">33 Rue de l'Aiguillerie </t>
  </si>
  <si>
    <t>2026-07-28 05:57:10</t>
  </si>
  <si>
    <t>2026-07-30 06:55:55</t>
  </si>
  <si>
    <t>5233242-28544</t>
  </si>
  <si>
    <t>Isabelle Tedesco</t>
  </si>
  <si>
    <t>87500156063014</t>
  </si>
  <si>
    <t>79 AV DE LA MARNE RES PALAIS THERMAL</t>
  </si>
  <si>
    <t>2026-07-28 05:57:43</t>
  </si>
  <si>
    <t>2026-07-30 06:51:37</t>
  </si>
  <si>
    <t>5233242-28545</t>
  </si>
  <si>
    <t>2 Gomme *1
 Crayon*1
Crayon*1
12 Mines*1
Crayon*1</t>
  </si>
  <si>
    <t>2 gommes-capuchons Shield - Noir | Pack de 2 gommes
Le Crayon Intemporel - Aluminium
Le Crayon Intemporel - Jade
🎁 Mines colorées (100% off) - Pack de 12 mines | 47% d'économie
Le Crayon Intemporel - Nuit</t>
  </si>
  <si>
    <t>maxime Di Duca</t>
  </si>
  <si>
    <t>TYZRB0014142055YQ</t>
  </si>
  <si>
    <t>Rue de l'Athénée 8 boîte 303</t>
  </si>
  <si>
    <t>2026-07-28 06:05:02</t>
  </si>
  <si>
    <t>2026-07-28 11:41:32</t>
  </si>
  <si>
    <t>5233242-28546</t>
  </si>
  <si>
    <t>Benjamin Breart</t>
  </si>
  <si>
    <t>87500156272699</t>
  </si>
  <si>
    <t>3 Résidence Des Rosiers App 83</t>
  </si>
  <si>
    <t>2026-07-28 06:56:45</t>
  </si>
  <si>
    <t>2026-07-30 06:51:38</t>
  </si>
  <si>
    <t>5233242-28547</t>
  </si>
  <si>
    <t>Maël Rousseau</t>
  </si>
  <si>
    <t>87500156061914</t>
  </si>
  <si>
    <t xml:space="preserve">6 Bis Rue Du Fief Malzais </t>
  </si>
  <si>
    <t>2026-07-28 06:56:58</t>
  </si>
  <si>
    <t>2026-07-30 06:55:56</t>
  </si>
  <si>
    <t>5233242-28548</t>
  </si>
  <si>
    <t>Magou SOUKOUNA</t>
  </si>
  <si>
    <t>87500156271589</t>
  </si>
  <si>
    <t>7.28订单28474-28548需要雕刻的铅笔已经统计</t>
  </si>
  <si>
    <t xml:space="preserve">138 rue Anais Nin </t>
  </si>
  <si>
    <t>2026-07-28 07:54:02</t>
  </si>
  <si>
    <t>2026-07-30 06:51:39</t>
  </si>
  <si>
    <t>5233242-28549</t>
  </si>
  <si>
    <t>Leo Marchi</t>
  </si>
  <si>
    <t>87500156466440</t>
  </si>
  <si>
    <t>10 Rue Fulton 514</t>
  </si>
  <si>
    <t>2026-07-28 10:26:47</t>
  </si>
  <si>
    <t>2026-07-31 07:52:46</t>
  </si>
  <si>
    <t>5233242-28550</t>
  </si>
  <si>
    <t>12 Mines*1
Crayon*2
Crayon*1</t>
  </si>
  <si>
    <t>🎁 Mines colorées (100% off) - Pack de 12 mines | 47% d'économie
Le Crayon Intemporel - Carmin
Le Crayon Intemporel - Carmin</t>
  </si>
  <si>
    <t>Sébastien Bekaert</t>
  </si>
  <si>
    <t>LD798793513BE</t>
  </si>
  <si>
    <t>Chemin du Vieux Chêne 4 4</t>
  </si>
  <si>
    <t>2026-07-28 10:34:56</t>
  </si>
  <si>
    <t>2026-07-31 11:46:21</t>
  </si>
  <si>
    <t>5233242-28551</t>
  </si>
  <si>
    <t>58283536580872*1
58195854557448*1</t>
  </si>
  <si>
    <t>Théo BARRAL</t>
  </si>
  <si>
    <t>87500156466433</t>
  </si>
  <si>
    <t>130 Route de la Grange Dimière Le Pin</t>
  </si>
  <si>
    <t>2026-07-28 13:39:23</t>
  </si>
  <si>
    <t>2026-07-31 07:52:47</t>
  </si>
  <si>
    <t>5233242-28552</t>
  </si>
  <si>
    <t>2 Gomme *1
12 Mines*1
 Crayon*1
Gravure Personnalisée*1
Coffret Cadeau*1</t>
  </si>
  <si>
    <t>2 gommes-capuchons Shield - Noir | Pack de 2 gommes
🎁 Mines colorées (100% off) - Pack de 12 mines | 47% d'économie
Le Crayon Intemporel - Aluminium
Gravure Personnalisée
Coffret Cadeau</t>
  </si>
  <si>
    <t>Mélanie Auberson</t>
  </si>
  <si>
    <t>YT2620900706114193</t>
  </si>
  <si>
    <t xml:space="preserve">Avenue des Alpes 111 </t>
  </si>
  <si>
    <t>2026-07-28 14:48:55</t>
  </si>
  <si>
    <t>2026-07-31 13:20:56</t>
  </si>
  <si>
    <t>5233242-28553</t>
  </si>
  <si>
    <t>Yoann Menseau</t>
  </si>
  <si>
    <t>87500156466436</t>
  </si>
  <si>
    <t xml:space="preserve">15 Avenue Médéric </t>
  </si>
  <si>
    <t>2026-07-28 14:54:00</t>
  </si>
  <si>
    <t>2026-07-31 07:52:48</t>
  </si>
  <si>
    <t>5233242-28554</t>
  </si>
  <si>
    <t>58195854557448*1
58283536580872*1
45242109231368*1</t>
  </si>
  <si>
    <t>Tiphanie Richard</t>
  </si>
  <si>
    <t>87500156466434</t>
  </si>
  <si>
    <t>21 Rue Sébastien Guiziou Appartement 4</t>
  </si>
  <si>
    <t>2026-07-28 15:20:24</t>
  </si>
  <si>
    <t>2026-07-31 07:52:49</t>
  </si>
  <si>
    <t>5233242-28555</t>
  </si>
  <si>
    <t>45242109264136*1
45242109329672*1
58283536580872*1
45242109231368*1</t>
  </si>
  <si>
    <t>Le Crayon Intemporel - Jade
Le Crayon Intemporel - Carmin
🎁 Mines colorées (100% off) - Pack de 12 mines | 47% d'économie
Le Crayon Intemporel - Obsidienne</t>
  </si>
  <si>
    <t>Adrien Charbonnel</t>
  </si>
  <si>
    <t>87500156640652</t>
  </si>
  <si>
    <t>12 Rue de Tivoli Appartement 379</t>
  </si>
  <si>
    <t>2026-07-28 15:25:15</t>
  </si>
  <si>
    <t>2026-07-31 07:46:08</t>
  </si>
  <si>
    <t>5233242-28556</t>
  </si>
  <si>
    <t>Sarah Decourt</t>
  </si>
  <si>
    <t>TYZRB0014145365YQ</t>
  </si>
  <si>
    <t xml:space="preserve">14 rue Molière résidence verte bâtiment B1 </t>
  </si>
  <si>
    <t>2026-07-28 15:32:10</t>
  </si>
  <si>
    <t>2026-07-31 13:17:57</t>
  </si>
  <si>
    <t>5233242-28557</t>
  </si>
  <si>
    <t>4 mines*1
Carnet *1
2 Gomme *1
12 Mines*1
Crayon*1
Gravure Personnalisée*1</t>
  </si>
  <si>
    <t>4 mines rechargeables
Le Carnet Parfait
2 gommes-capuchons Shield - Noir | Pack de 2 gommes
🎁 Mines colorées (100% off) - Pack de 12 mines | 47% d'économie
Le Crayon Intemporel - Obsidienne
Gravure Personnalisée</t>
  </si>
  <si>
    <t>Steffel Palitta</t>
  </si>
  <si>
    <t>TYZRB0014131520YQ</t>
  </si>
  <si>
    <t>13 Avenues Georges Clemenceau Batiment A Appartement 104</t>
  </si>
  <si>
    <t>2026-07-28 15:44:20</t>
  </si>
  <si>
    <t>2026-07-31 13:35:40</t>
  </si>
  <si>
    <t>5233242-28558</t>
  </si>
  <si>
    <t>🎁 Mines colorées (100% off) - Pack de 12 mines | 47% d'économie
Le Crayon Intemporel - Obsidienne
Gravure Personnalisée
Coffret Cadeau</t>
  </si>
  <si>
    <t>Soulaimane Joret Baine</t>
  </si>
  <si>
    <t>TYZRB0014154129YQ</t>
  </si>
  <si>
    <t xml:space="preserve">38 chemin des vignes </t>
  </si>
  <si>
    <t>2026-07-28 15:58:01</t>
  </si>
  <si>
    <t>2026-07-31 13:35:42</t>
  </si>
  <si>
    <t>5233242-28559</t>
  </si>
  <si>
    <t>45407586615560*1
58195854557448*1
45242109329672*1
58283536580872*1
45407589237000*2</t>
  </si>
  <si>
    <t>4 mines rechargeables
2 gommes-capuchons Shield - Noir | Pack de 2 gommes
Le Crayon Intemporel - Carmin
🎁 Mines colorées (100% off) - Pack de 12 mines | 47% d'économie
Le Crayon Intemporel - Aluminium</t>
  </si>
  <si>
    <t>Steven HISLER</t>
  </si>
  <si>
    <t>87500156640643</t>
  </si>
  <si>
    <t xml:space="preserve">150 rue du coteau de Nizy </t>
  </si>
  <si>
    <t>2026-07-28 16:09:43</t>
  </si>
  <si>
    <t>2026-07-31 07:46:09</t>
  </si>
  <si>
    <t>5233242-28560</t>
  </si>
  <si>
    <t>45242109296904*1
45242109329672*1
58283536580872*1
45242109231368*1</t>
  </si>
  <si>
    <t>Le Crayon Intemporel - Saturne
Le Crayon Intemporel - Carmin
🎁 Mines colorées (100% off) - Pack de 12 mines | 47% d'économie
Le Crayon Intemporel - Obsidienne</t>
  </si>
  <si>
    <t>florina dole</t>
  </si>
  <si>
    <t>87500156466426</t>
  </si>
  <si>
    <t xml:space="preserve">123 La Place </t>
  </si>
  <si>
    <t>2026-07-28 16:19:26</t>
  </si>
  <si>
    <t>2026-07-31 07:46:10</t>
  </si>
  <si>
    <t>5233242-28561</t>
  </si>
  <si>
    <t>45242109264136*1
58195854557448*1
45242109329672*1
45407586615560*1
58283536580872*1
45242109231368*1</t>
  </si>
  <si>
    <t>Le Crayon Intemporel - Jade
2 gommes-capuchons Shield - Noir | Pack de 2 gommes
Le Crayon Intemporel - Carmin
4 mines rechargeables
🎁 Mines colorées (100% off) - Pack de 12 mines | 47% d'économie
Le Crayon Intemporel - Obsidienne</t>
  </si>
  <si>
    <t>Maxence ROY</t>
  </si>
  <si>
    <t>87500156466441</t>
  </si>
  <si>
    <t xml:space="preserve">41 Rue des Baillauds </t>
  </si>
  <si>
    <t>2026-07-28 16:22:54</t>
  </si>
  <si>
    <t>2026-07-31 07:46:11</t>
  </si>
  <si>
    <t>5233242-28562</t>
  </si>
  <si>
    <t>Crayon*1
12 Mines*1</t>
  </si>
  <si>
    <t>Stanislav Bedyak</t>
  </si>
  <si>
    <t>：4PX3003020597489CN</t>
  </si>
  <si>
    <t>这个订单不要发货，客人的测试订单，我只是假装发货</t>
  </si>
  <si>
    <t>25 Rue Paul Gros WRITE</t>
  </si>
  <si>
    <t>2026-07-28 16:33:05</t>
  </si>
  <si>
    <t>2026-07-28 16:40:48</t>
  </si>
  <si>
    <t>5233242-28563</t>
  </si>
  <si>
    <t>45407586615560*1
58283536580872*1
45242109395208*1</t>
  </si>
  <si>
    <t>4 mines rechargeables
🎁 Mines colorées (100% off) - Pack de 12 mines | 47% d'économie
Le Crayon Intemporel - Nuit</t>
  </si>
  <si>
    <t>Pierre-Alain Bourgoin</t>
  </si>
  <si>
    <t>87500156466437</t>
  </si>
  <si>
    <t>20 rue de la Colline Chez Monsieur Cremoux</t>
  </si>
  <si>
    <t>2026-07-28 16:55:52</t>
  </si>
  <si>
    <t>2026-07-31 07:46:13</t>
  </si>
  <si>
    <t>5233242-28564</t>
  </si>
  <si>
    <t>Gregory Rota</t>
  </si>
  <si>
    <t>87500156640637</t>
  </si>
  <si>
    <t>7.28订单28549-28564需雕刻铅笔已经统计</t>
  </si>
  <si>
    <t xml:space="preserve">4 Rue Du Gric </t>
  </si>
  <si>
    <t>2026-07-28 16:59:12</t>
  </si>
  <si>
    <t>2026-07-31 07:46:14</t>
  </si>
  <si>
    <t>5233242-28565</t>
  </si>
  <si>
    <t>49624579571976*1
45407586615560*1
58283536580872*1
58195854557448*1</t>
  </si>
  <si>
    <t>Mines colorées - Rouge
4 mines rechargeables
🎁 Mines colorées (100% off) - Pack de 12 mines | 47% d'économie
2 gommes-capuchons Shield - Noir | Pack de 2 gommes</t>
  </si>
  <si>
    <t>87500156466415</t>
  </si>
  <si>
    <t xml:space="preserve">14 bis B rue Nationale </t>
  </si>
  <si>
    <t>2026-07-28 17:26:49</t>
  </si>
  <si>
    <t>2026-07-31 07:46:15</t>
  </si>
  <si>
    <t>5233242-28566</t>
  </si>
  <si>
    <t>58195854557448*2
58283536580872*1
45407586615560*1
45242109395208*1
45242109329672*1
45242109231368*1</t>
  </si>
  <si>
    <t>2 gommes-capuchons Shield - Noir | Pack de 2 gommes
🎁 Mines colorées (100% off) - Pack de 12 mines | 47% d'économie
4 mines rechargeables
Le Crayon Intemporel - Nuit
Le Crayon Intemporel - Carmin
Le Crayon Intemporel - Obsidienne</t>
  </si>
  <si>
    <t>Amandine Adam</t>
  </si>
  <si>
    <t>87500156466401</t>
  </si>
  <si>
    <t xml:space="preserve">58 Rue d'Anvers </t>
  </si>
  <si>
    <t>2026-07-28 18:32:14</t>
  </si>
  <si>
    <t>2026-07-31 07:46:16</t>
  </si>
  <si>
    <t>5233242-28567</t>
  </si>
  <si>
    <t>45242109296904*1
45242109395208*1
58283536580872*1
45242109264136*1</t>
  </si>
  <si>
    <t>Le Crayon Intemporel - Saturne
Le Crayon Intemporel - Nuit
🎁 Mines colorées (100% off) - Pack de 12 mines | 47% d'économie
Le Crayon Intemporel - Jade</t>
  </si>
  <si>
    <t>Elena Zezymbrouck</t>
  </si>
  <si>
    <t>87500156467165</t>
  </si>
  <si>
    <t xml:space="preserve">14 Hameau du Ruisseau </t>
  </si>
  <si>
    <t>2026-07-28 18:35:42</t>
  </si>
  <si>
    <t>2026-07-31 07:46:17</t>
  </si>
  <si>
    <t>5233242-28568</t>
  </si>
  <si>
    <t>12 Mines*1
Crayon*1
Gravure Personnalisée*1</t>
  </si>
  <si>
    <t>🎁 Mines colorées (100% off) - Pack de 12 mines | 47% d'économie
Le Crayon Intemporel - Nuit
Gravure Personnalisée</t>
  </si>
  <si>
    <t>Allan Olllivier</t>
  </si>
  <si>
    <t>TYZRB0014147166YQ</t>
  </si>
  <si>
    <t xml:space="preserve">362 Chemin des Pradeaux </t>
  </si>
  <si>
    <t>2026-07-28 18:41:09</t>
  </si>
  <si>
    <t>2026-07-31 13:17:59</t>
  </si>
  <si>
    <t>5233242-28569</t>
  </si>
  <si>
    <t>LAURENT LABALLERY</t>
  </si>
  <si>
    <t>87500156466397</t>
  </si>
  <si>
    <t>39 Avenue Thibaud de Champagne Les Champs de Chessy</t>
  </si>
  <si>
    <t>2026-07-28 18:59:48</t>
  </si>
  <si>
    <t>2026-07-31 07:46:18</t>
  </si>
  <si>
    <t>5233242-28570</t>
  </si>
  <si>
    <t>Crayon*1
Gravure Personnalisée*1
Crayon*1
Gravure Personnalisée*1
Crayon*1
12 Mines*1</t>
  </si>
  <si>
    <t>Le Crayon Intemporel - Obsidienne
Gravure Personnalisée
Le Crayon Intemporel - Obsidienne
Gravure Personnalisée
Le Crayon Intemporel - Jade
🎁 Mines colorées (100% off) - Pack de 12 mines | 47% d'économie</t>
  </si>
  <si>
    <t>Dorian MARCUS</t>
  </si>
  <si>
    <t>TYZRB0014157690YQ</t>
  </si>
  <si>
    <t xml:space="preserve">163 rue de bar </t>
  </si>
  <si>
    <t>2026-07-28 19:07:03</t>
  </si>
  <si>
    <t>2026-07-31 13:18:01</t>
  </si>
  <si>
    <t>5233242-28571</t>
  </si>
  <si>
    <t>45407589237000*1
45242109231368*1
58195854557448*1
58283536580872*1
45242109329672*1</t>
  </si>
  <si>
    <t>Le Crayon Intemporel - Aluminium
Le Crayon Intemporel - Obsidienne
2 gommes-capuchons Shield - Noir | Pack de 2 gommes
🎁 Mines colorées (100% off) - Pack de 12 mines | 47% d'économie
Le Crayon Intemporel - Carmin</t>
  </si>
  <si>
    <t>Sophie Verdier</t>
  </si>
  <si>
    <t>87500156466425</t>
  </si>
  <si>
    <t xml:space="preserve">80 Rue Bellevue </t>
  </si>
  <si>
    <t>2026-07-28 19:11:46</t>
  </si>
  <si>
    <t>2026-07-31 07:46:20</t>
  </si>
  <si>
    <t>5233242-28572</t>
  </si>
  <si>
    <t>Laura carnel</t>
  </si>
  <si>
    <t>87500156640631</t>
  </si>
  <si>
    <t>23 avenue de bel air Appartement E11  1er étage</t>
  </si>
  <si>
    <t>2026-07-28 19:21:44</t>
  </si>
  <si>
    <t>2026-07-31 07:46:21</t>
  </si>
  <si>
    <t>5233242-28573</t>
  </si>
  <si>
    <t>Vincent Bilocq</t>
  </si>
  <si>
    <t>87500156466408</t>
  </si>
  <si>
    <t>1530 Route De Miribel Les Reynats</t>
  </si>
  <si>
    <t>2026-07-28 19:38:37</t>
  </si>
  <si>
    <t>2026-07-31 07:46:22</t>
  </si>
  <si>
    <t>5233242-28574</t>
  </si>
  <si>
    <t>87500156466391</t>
  </si>
  <si>
    <t>2026-07-28 19:39:49</t>
  </si>
  <si>
    <t>2026-07-31 07:46:23</t>
  </si>
  <si>
    <t>5233242-28575</t>
  </si>
  <si>
    <t>87500156466413</t>
  </si>
  <si>
    <t>2026-07-28 19:41:01</t>
  </si>
  <si>
    <t>2026-07-31 07:46:24</t>
  </si>
  <si>
    <t>5233242-28576</t>
  </si>
  <si>
    <t>87500156640649</t>
  </si>
  <si>
    <t>2026-07-28 19:41:52</t>
  </si>
  <si>
    <t>2026-07-31 07:46:25</t>
  </si>
  <si>
    <t>5233242-28577</t>
  </si>
  <si>
    <t>joey augustinien</t>
  </si>
  <si>
    <t>87500156466407</t>
  </si>
  <si>
    <t xml:space="preserve">169 Boulevard Anatole France </t>
  </si>
  <si>
    <t>2026-07-28 19:52:36</t>
  </si>
  <si>
    <t>2026-07-31 07:46:26</t>
  </si>
  <si>
    <t>5233242-28578</t>
  </si>
  <si>
    <t>Amandine Gourdon</t>
  </si>
  <si>
    <t>87500156466396</t>
  </si>
  <si>
    <t xml:space="preserve">120 Avenue Justin Luquot </t>
  </si>
  <si>
    <t>2026-07-28 20:04:09</t>
  </si>
  <si>
    <t>2026-07-31 07:46:28</t>
  </si>
  <si>
    <t>5233242-28579</t>
  </si>
  <si>
    <t>Kevin De oliveira mesquita</t>
  </si>
  <si>
    <t>'87500156640648</t>
  </si>
  <si>
    <t>25 Rue Saint-Michel 3eme (BENITEZ)</t>
  </si>
  <si>
    <t>2026-07-28 20:27:50</t>
  </si>
  <si>
    <t>2026-07-31 07:46:29</t>
  </si>
  <si>
    <t>5233242-28580</t>
  </si>
  <si>
    <t>Mathieu Fortage</t>
  </si>
  <si>
    <t>87500156640638</t>
  </si>
  <si>
    <t>1 Rue Jacques Prévert Garage Renault</t>
  </si>
  <si>
    <t>2026-07-28 20:42:26</t>
  </si>
  <si>
    <t>2026-07-31 07:46:30</t>
  </si>
  <si>
    <t>5233242-28581</t>
  </si>
  <si>
    <t>45242109231368*1
45407589237000*1
58283536580872*1
45242109329672*1</t>
  </si>
  <si>
    <t>Le Crayon Intemporel - Obsidienne
Le Crayon Intemporel - Aluminium
🎁 Mines colorées (100% off) - Pack de 12 mines | 47% d'économie
Le Crayon Intemporel - Carmin</t>
  </si>
  <si>
    <t>Carla Pagnacco</t>
  </si>
  <si>
    <t>87500156466412</t>
  </si>
  <si>
    <t xml:space="preserve">16 Rue du Acker </t>
  </si>
  <si>
    <t>2026-07-28 20:44:01</t>
  </si>
  <si>
    <t>2026-07-31 08:09:54</t>
  </si>
  <si>
    <t>5233242-28582</t>
  </si>
  <si>
    <t>Patricia Ruelle</t>
  </si>
  <si>
    <t>87500156466429</t>
  </si>
  <si>
    <t xml:space="preserve">1223 Route De Pompignan </t>
  </si>
  <si>
    <t>2026-07-28 20:54:48</t>
  </si>
  <si>
    <t>2026-07-31 08:09:55</t>
  </si>
  <si>
    <t>5233242-28583</t>
  </si>
  <si>
    <t>45242109329672*2
45242109329672*1
45407586615560*1
58283536580872*1</t>
  </si>
  <si>
    <t>Le Crayon Intemporel - Carmin
Le Crayon Intemporel - Carmin
4 mines rechargeables
🎁 Mines colorées (100% off) - Pack de 12 mines | 47% d'économie</t>
  </si>
  <si>
    <t>Maxime KOWALCZYK</t>
  </si>
  <si>
    <t>87500156466738</t>
  </si>
  <si>
    <t xml:space="preserve">214q Grand Rue </t>
  </si>
  <si>
    <t>2026-07-28 20:59:47</t>
  </si>
  <si>
    <t>2026-07-31 08:09:56</t>
  </si>
  <si>
    <t>5233242-28584</t>
  </si>
  <si>
    <t>45242109329672*1
58195854557448*2
58283536580872*1
45242109231368*2</t>
  </si>
  <si>
    <t>Le Crayon Intemporel - Carmin
2 gommes-capuchons Shield - Noir | Pack de 2 gommes
🎁 Mines colorées (100% off) - Pack de 12 mines | 47% d'économie
Le Crayon Intemporel - Obsidienne</t>
  </si>
  <si>
    <t>jean leca</t>
  </si>
  <si>
    <t>87500156466435</t>
  </si>
  <si>
    <t>40 Rue De La Justice Bâtiment B</t>
  </si>
  <si>
    <t>2026-07-28 21:13:34</t>
  </si>
  <si>
    <t>2026-07-31 08:09:58</t>
  </si>
  <si>
    <t>5233242-28585</t>
  </si>
  <si>
    <t>Le Crayon Intemporel - Obsidienne
Gravure Personnalisée
Le Crayon Intemporel - Nuit
Gravure Personnalisée
🎁 Mines colorées (100% off) - Pack de 12 mines | 47% d'économie
Le Crayon Intemporel - Nuit
Gravure Personnalisée</t>
  </si>
  <si>
    <t>Alexandra Vazquez</t>
  </si>
  <si>
    <t>TYZRB0014136696YQ</t>
  </si>
  <si>
    <t xml:space="preserve">201 Rue de la Coulée Verte </t>
  </si>
  <si>
    <t>2026-07-28 21:16:33</t>
  </si>
  <si>
    <t>2026-07-31 13:18:03</t>
  </si>
  <si>
    <t>5233242-28586</t>
  </si>
  <si>
    <t>🎁 Mines colorées (100% off) - Pack de 12 mines | 47% d'économie
Le Crayon Intemporel - Obsidienne
Gravure Personnalisée</t>
  </si>
  <si>
    <t>Lucas Lestavel</t>
  </si>
  <si>
    <t>TYZRB0014173560YQ</t>
  </si>
  <si>
    <t xml:space="preserve">113 Avenue du Casino </t>
  </si>
  <si>
    <t>2026-07-28 21:22:35</t>
  </si>
  <si>
    <t>2026-07-31 13:18:05</t>
  </si>
  <si>
    <t>5233242-28587</t>
  </si>
  <si>
    <t>Jerome Pezzini</t>
  </si>
  <si>
    <t>TYZRB0014157691YQ</t>
  </si>
  <si>
    <t xml:space="preserve">21 Rue du Cherche-Midi </t>
  </si>
  <si>
    <t>2026-07-28 21:25:14</t>
  </si>
  <si>
    <t>2026-07-31 13:18:07</t>
  </si>
  <si>
    <t>5233242-28588</t>
  </si>
  <si>
    <t>4 mines*1
12 Mines*1
Crayon*1</t>
  </si>
  <si>
    <t>Federico Gianfreda</t>
  </si>
  <si>
    <t>YT2621000701817780</t>
  </si>
  <si>
    <t>Rue Denis-de-Rougemont 2 Appartement 101</t>
  </si>
  <si>
    <t>2026-07-28 21:29:56</t>
  </si>
  <si>
    <t>2026-07-31 11:41:24</t>
  </si>
  <si>
    <t>5233242-28589</t>
  </si>
  <si>
    <t>Laurence PAUL</t>
  </si>
  <si>
    <t>87500156466386</t>
  </si>
  <si>
    <t>Appartement 11 BÂtiment D 3 Rue Du Colonel Arnaud Beltrame</t>
  </si>
  <si>
    <t>2026-07-28 21:31:49</t>
  </si>
  <si>
    <t>2026-07-31 08:09:59</t>
  </si>
  <si>
    <t>5233242-28590</t>
  </si>
  <si>
    <t>Nicolas Jean</t>
  </si>
  <si>
    <t>TYZRB0014152409YQ</t>
  </si>
  <si>
    <t>4,Castello-Rosso Ruppione</t>
  </si>
  <si>
    <t>2026-07-28 21:50:33</t>
  </si>
  <si>
    <t>2026-07-31 13:18:08</t>
  </si>
  <si>
    <t>5233242-28591</t>
  </si>
  <si>
    <t>45242109264136*1
45407586615560*1
58283536580872*1
58195854557448*1</t>
  </si>
  <si>
    <t>Le Crayon Intemporel - Jade
4 mines rechargeables
🎁 Mines colorées (100% off) - Pack de 12 mines | 47% d'économie
2 gommes-capuchons Shield - Noir | Pack de 2 gommes</t>
  </si>
  <si>
    <t>Géraldine AZARD</t>
  </si>
  <si>
    <t>87500156466384</t>
  </si>
  <si>
    <t xml:space="preserve">10 rue de Gergovie </t>
  </si>
  <si>
    <t>2026-07-28 21:56:54</t>
  </si>
  <si>
    <t>2026-07-31 08:10:00</t>
  </si>
  <si>
    <t>5233242-28592</t>
  </si>
  <si>
    <t>45242109395208*1
45407589237000*1
58195854557448*1
58283536580872*1
45242109231368*1</t>
  </si>
  <si>
    <t>Le Crayon Intemporel - Nuit
Le Crayon Intemporel - Aluminium
2 gommes-capuchons Shield - Noir | Pack de 2 gommes
🎁 Mines colorées (100% off) - Pack de 12 mines | 47% d'économie
Le Crayon Intemporel - Obsidienne</t>
  </si>
  <si>
    <t>Sébastien Banzet</t>
  </si>
  <si>
    <t>87500156640612</t>
  </si>
  <si>
    <t xml:space="preserve">17 rue du moulin </t>
  </si>
  <si>
    <t>2026-07-28 22:04:30</t>
  </si>
  <si>
    <t>2026-07-31 08:10:02</t>
  </si>
  <si>
    <t>5233242-28593</t>
  </si>
  <si>
    <t>Crayon*1
Gravure Personnalisée*1
2 Gomme *1
12 Mines*1</t>
  </si>
  <si>
    <t>Le Crayon Intemporel - Obsidienne
Gravure Personnalisée
2 gommes-capuchons Shield - Noir | Pack de 2 gommes
🎁 Mines colorées (100% off) - Pack de 12 mines | 47% d'économie</t>
  </si>
  <si>
    <t>Leila Grosjean</t>
  </si>
  <si>
    <t>LD798940741BE</t>
  </si>
  <si>
    <t>Rue du Champion 1 0051</t>
  </si>
  <si>
    <t>2026-07-28 22:07:52</t>
  </si>
  <si>
    <t>2026-07-31 13:39:19</t>
  </si>
  <si>
    <t>5233242-28594</t>
  </si>
  <si>
    <t>Isabelle Beguin</t>
  </si>
  <si>
    <t>87500156640613</t>
  </si>
  <si>
    <t xml:space="preserve">257 Chemin du Vallat Neuf </t>
  </si>
  <si>
    <t>2026-07-28 22:10:57</t>
  </si>
  <si>
    <t>2026-07-31 08:10:03</t>
  </si>
  <si>
    <t>5233242-28595</t>
  </si>
  <si>
    <t>Marion Delaval</t>
  </si>
  <si>
    <t>TYZRB0014161286YQ</t>
  </si>
  <si>
    <t xml:space="preserve">4 Grand rue </t>
  </si>
  <si>
    <t>2026-07-28 22:14:48</t>
  </si>
  <si>
    <t>2026-07-31 13:18:10</t>
  </si>
  <si>
    <t>5233242-28596</t>
  </si>
  <si>
    <t>2 Gomme *1
Crayon*1
 Crayon*1
12 Mines*1
Crayon*1</t>
  </si>
  <si>
    <t>2 gommes-capuchons Shield - Noir | Pack de 2 gommes
Le Crayon Intemporel - Jade
Le Crayon Intemporel - Aluminium
🎁 Mines colorées (100% off) - Pack de 12 mines | 47% d'économie
Le Crayon Intemporel - Carmin</t>
  </si>
  <si>
    <t>Valérie Poncin</t>
  </si>
  <si>
    <t xml:space="preserve">Rue du Scadeau 58 </t>
  </si>
  <si>
    <t>2026-07-28 22:30:30</t>
  </si>
  <si>
    <t>5233242-28597</t>
  </si>
  <si>
    <t>Karine Duhautois</t>
  </si>
  <si>
    <t>87500156466424</t>
  </si>
  <si>
    <t xml:space="preserve">42 E rue de l'abbaye de Vaucelles </t>
  </si>
  <si>
    <t>2026-07-28 22:35:38</t>
  </si>
  <si>
    <t>2026-07-31 08:10:04</t>
  </si>
  <si>
    <t>5233242-28598</t>
  </si>
  <si>
    <t>45242109264136*1
58283536580872*1
57754101055752*1</t>
  </si>
  <si>
    <t>Le Crayon Intemporel - Jade
🎁 Mines colorées (100% off) - Pack de 12 mines | 47% d'économie
Mines colorées - Pack de 12 mines | 47% d'économie</t>
  </si>
  <si>
    <t>Gilles Munier</t>
  </si>
  <si>
    <t>87500156640641</t>
  </si>
  <si>
    <t xml:space="preserve">31 Rue De La Concorde </t>
  </si>
  <si>
    <t>2026-07-28 22:46:37</t>
  </si>
  <si>
    <t>2026-07-31 08:10:05</t>
  </si>
  <si>
    <t>5233242-28599</t>
  </si>
  <si>
    <t>45407586615560*1
58195854557448*1
58283536580872*1
45242109231368*2
45242109231368*1</t>
  </si>
  <si>
    <t>4 mines rechargeables
2 gommes-capuchons Shield - Noir | Pack de 2 gommes
🎁 Mines colorées (100% off) - Pack de 12 mines | 47% d'économie
Le Crayon Intemporel - Obsidienne
Le Crayon Intemporel - Obsidienne</t>
  </si>
  <si>
    <t>Aurelle Rideau</t>
  </si>
  <si>
    <t>87500156466404</t>
  </si>
  <si>
    <t xml:space="preserve">19 Rue Du 18 Juin 1940 </t>
  </si>
  <si>
    <t>2026-07-28 22:47:10</t>
  </si>
  <si>
    <t>2026-07-31 08:10:06</t>
  </si>
  <si>
    <t>5233242-28600</t>
  </si>
  <si>
    <t>Paul Boutin</t>
  </si>
  <si>
    <t>87500156640619</t>
  </si>
  <si>
    <t xml:space="preserve">12 chemin du karting </t>
  </si>
  <si>
    <t>2026-07-28 22:47:14</t>
  </si>
  <si>
    <t>2026-07-31 08:10:07</t>
  </si>
  <si>
    <t>5233242-28601</t>
  </si>
  <si>
    <t>Le Crayon Intemporel - Nuit
Gravure Personnalisée
2 gommes-capuchons Shield - Noir | Pack de 2 gommes
🎁 Mines colorées (100% off) - Pack de 12 mines | 47% d'économie</t>
  </si>
  <si>
    <t>Soizic COTTINEAU</t>
  </si>
  <si>
    <t>TYZRB0014145379YQ</t>
  </si>
  <si>
    <t xml:space="preserve">28 Rue Théodore Monod </t>
  </si>
  <si>
    <t>2026-07-28 22:54:12</t>
  </si>
  <si>
    <t>2026-07-31 13:18:12</t>
  </si>
  <si>
    <t>5233242-28602</t>
  </si>
  <si>
    <t>Victoria sepot</t>
  </si>
  <si>
    <t>87500156466419</t>
  </si>
  <si>
    <t xml:space="preserve">36 Rue De La Foret </t>
  </si>
  <si>
    <t>2026-07-28 23:08:05</t>
  </si>
  <si>
    <t>2026-07-31 08:10:08</t>
  </si>
  <si>
    <t>5233242-28603</t>
  </si>
  <si>
    <t>Sandy Dumond</t>
  </si>
  <si>
    <t>TYZRB0014159472YQ</t>
  </si>
  <si>
    <t xml:space="preserve">14 Rue de la Liberté </t>
  </si>
  <si>
    <t>2026-07-28 23:12:11</t>
  </si>
  <si>
    <t>2026-07-31 13:18:14</t>
  </si>
  <si>
    <t>5233242-28604</t>
  </si>
  <si>
    <t>58283536580872*1
58195854557448*2</t>
  </si>
  <si>
    <t>Guénaël Vallarcher</t>
  </si>
  <si>
    <t>87500156640653</t>
  </si>
  <si>
    <t xml:space="preserve">26 Route Du Fozo </t>
  </si>
  <si>
    <t>2026-07-28 23:21:31</t>
  </si>
  <si>
    <t>2026-07-31 08:10:09</t>
  </si>
  <si>
    <t>5233242-28605</t>
  </si>
  <si>
    <t>58274131771656*1
58283536580872*1
58195854557448*1</t>
  </si>
  <si>
    <t>Loic Bonnaud--Bouillard</t>
  </si>
  <si>
    <t>9L37141971616</t>
  </si>
  <si>
    <t xml:space="preserve">6 Chemin Des Basses Touches </t>
  </si>
  <si>
    <t>2026-07-28 23:31:45</t>
  </si>
  <si>
    <t>2026-07-31 08:10:10</t>
  </si>
  <si>
    <t>5233242-28606</t>
  </si>
  <si>
    <t>12 Mines*1
Gravure Personnalisée*1
Crayon*1
2 Gomme *1
Crayon*1
Crayon*1</t>
  </si>
  <si>
    <t>🎁 Mines colorées (100% off) - Pack de 12 mines | 47% d'économie
Gravure Personnalisée
Le Crayon Intemporel - Nuit
2 gommes-capuchons Shield - Noir | Pack de 2 gommes
Le Crayon Intemporel - Obsidienne
Le Crayon Intemporel - Jade</t>
  </si>
  <si>
    <t>Stéphanie MARCHAIS</t>
  </si>
  <si>
    <t>TYZRB0014154208YQ</t>
  </si>
  <si>
    <t xml:space="preserve">2 avenue de l'aiguillon </t>
  </si>
  <si>
    <t>2026-07-28 23:37:32</t>
  </si>
  <si>
    <t>2026-07-31 13:18:16</t>
  </si>
  <si>
    <t>5233242-28607</t>
  </si>
  <si>
    <t>Crayon*1
Gravure Personnalisée*1
Crayon*1
4 mines*1
2 Gomme *4
12 Mines*1
 Crayon*1
Gravure Personnalisée*1</t>
  </si>
  <si>
    <t>Le Crayon Intemporel - Nuit
Gravure Personnalisée
Le Crayon Intemporel - Obsidienne
4 mines rechargeables
2 gommes-capuchons Shield - Noir | Pack de 2 gommes
🎁 Mines colorées (100% off) - Pack de 12 mines | 47% d'économie
Le Crayon Intemporel - Aluminium
Gravure Personnalisée</t>
  </si>
  <si>
    <t>Philippe Bezulier</t>
  </si>
  <si>
    <t>TYZRB0014164740YQ</t>
  </si>
  <si>
    <t>1 Rue d'Aunis Philippe Bezulier père et fils.</t>
  </si>
  <si>
    <t>2026-07-28 23:38:54</t>
  </si>
  <si>
    <t>2026-07-31 13:18:18</t>
  </si>
  <si>
    <t>5233242-28608</t>
  </si>
  <si>
    <t>Gaëtane Colas</t>
  </si>
  <si>
    <t>LD798793408BE</t>
  </si>
  <si>
    <t xml:space="preserve">Avenue de rohan 26 </t>
  </si>
  <si>
    <t>2026-07-28 23:40:53</t>
  </si>
  <si>
    <t>2026-07-31 11:46:22</t>
  </si>
  <si>
    <t>5233242-28609</t>
  </si>
  <si>
    <t xml:space="preserve"> Crayon*1
Gravure Personnalisée*1
12 Mines*1
 Crayon*1
Gravure Personnalisée*1
2 Gomme *1
4 mines*1
Crayon*1
Gravure Personnalisée*1</t>
  </si>
  <si>
    <t>Le Crayon Intemporel - Aluminium
Gravure Personnalisée
🎁 Mines colorées (100% off) - Pack de 12 mines | 47% d'économie
Le Crayon Intemporel - Aluminium
Gravure Personnalisée
2 gommes-capuchons Shield - Noir | Pack de 2 gommes
4 mines rechargeables
Le Crayon Intemporel - Carmin
Gravure Personnalisée</t>
  </si>
  <si>
    <t>Gilles HERVET</t>
  </si>
  <si>
    <t>TYZRB0014171791YQ</t>
  </si>
  <si>
    <t xml:space="preserve">14 route de Saint Germain Le Bourg </t>
  </si>
  <si>
    <t>2026-07-28 23:43:57</t>
  </si>
  <si>
    <t>2026-07-31 13:18:20</t>
  </si>
  <si>
    <t>5233242-28610</t>
  </si>
  <si>
    <t>58195854557448*4
45242109329672*1
45407589237000*1
58283536580872*1
45242109231368*1</t>
  </si>
  <si>
    <t>2 gommes-capuchons Shield - Noir | Pack de 2 gommes
Le Crayon Intemporel - Carmin
Le Crayon Intemporel - Aluminium
🎁 Mines colorées (100% off) - Pack de 12 mines | 47% d'économie
Le Crayon Intemporel - Obsidienne</t>
  </si>
  <si>
    <t>Sébastien VIEILLEVIGNE</t>
  </si>
  <si>
    <t>87500156640626</t>
  </si>
  <si>
    <t xml:space="preserve">5 bis Rue Léon Bobin </t>
  </si>
  <si>
    <t>2026-07-28 23:56:22</t>
  </si>
  <si>
    <t>2026-07-31 08:10:11</t>
  </si>
  <si>
    <t>5233242-28611</t>
  </si>
  <si>
    <t>Crayon*1
 Crayon*1
Crayon*1
4 mines*2
12 Mines*1
2 Gomme *2
6 mines*1</t>
  </si>
  <si>
    <t>Le Crayon Intemporel - Nuit
Le Crayon Intemporel - Aluminium
Le Crayon Intemporel - Obsidienne
4 mines rechargeables
🎁 Mines colorées (100% off) - Pack de 12 mines | 47% d'économie
2 gommes-capuchons Shield - Noir | Pack de 2 gommes
Mines colorées - Pack de 6 mines | 36% d'économie</t>
  </si>
  <si>
    <t>Rachel Chollet</t>
  </si>
  <si>
    <t>YT2621000701817913</t>
  </si>
  <si>
    <t xml:space="preserve">Rte De La Bourgeoisie 65 </t>
  </si>
  <si>
    <t>2026-07-28 23:58:41</t>
  </si>
  <si>
    <t>5233242-28612</t>
  </si>
  <si>
    <t>2 Gomme *1
Crayon*1
Gravure Personnalisée*1
Crayon*1
Gravure Personnalisée*1
12 Mines*1
Crayon*1
Gravure Personnalisée*1</t>
  </si>
  <si>
    <t>2 gommes-capuchons Shield - Noir | Pack de 2 gommes
Le Crayon Intemporel - Carmin
Gravure Personnalisée
Le Crayon Intemporel - Obsidienne
Gravure Personnalisée
🎁 Mines colorées (100% off) - Pack de 12 mines | 47% d'économie
Le Crayon Intemporel - Jade
Gravure Personnalisée</t>
  </si>
  <si>
    <t>Michel Borges</t>
  </si>
  <si>
    <t>TYZRB0014152410YQ</t>
  </si>
  <si>
    <t xml:space="preserve">45 rue Georges Brassens </t>
  </si>
  <si>
    <t>2026-07-29 00:00:11</t>
  </si>
  <si>
    <t>2026-07-31 13:18:22</t>
  </si>
  <si>
    <t>5233242-28613</t>
  </si>
  <si>
    <t>45407589237000*1
45242109329672*1
58195854557448*1
58283536580872*1
45242109231368*1</t>
  </si>
  <si>
    <t>Le Crayon Intemporel - Aluminium
Le Crayon Intemporel - Carmin
2 gommes-capuchons Shield - Noir | Pack de 2 gommes
🎁 Mines colorées (100% off) - Pack de 12 mines | 47% d'économie
Le Crayon Intemporel - Obsidienne</t>
  </si>
  <si>
    <t>Mathieu POISAY</t>
  </si>
  <si>
    <t>87500156640633</t>
  </si>
  <si>
    <t xml:space="preserve">20 Rue Pierre Vertadier </t>
  </si>
  <si>
    <t>2026-07-29 00:02:17</t>
  </si>
  <si>
    <t>2026-07-31 08:10:13</t>
  </si>
  <si>
    <t>5233242-28614</t>
  </si>
  <si>
    <t>EI JEREMY PELTIER ARCHITECTE</t>
  </si>
  <si>
    <t>87500156466422</t>
  </si>
  <si>
    <t xml:space="preserve">11 Rue de la Loire </t>
  </si>
  <si>
    <t>2026-07-29 00:06:41</t>
  </si>
  <si>
    <t>2026-07-31 08:10:14</t>
  </si>
  <si>
    <t>5233242-28615</t>
  </si>
  <si>
    <t>Flavien Madjlessi</t>
  </si>
  <si>
    <t>9L37143973267</t>
  </si>
  <si>
    <t xml:space="preserve">1 Allee Bernadotte </t>
  </si>
  <si>
    <t>2026-07-29 00:15:31</t>
  </si>
  <si>
    <t>2026-07-31 08:10:15</t>
  </si>
  <si>
    <t>5233242-28616</t>
  </si>
  <si>
    <t>Matthieu VEILLARD</t>
  </si>
  <si>
    <t>87500156640603</t>
  </si>
  <si>
    <t xml:space="preserve">1 Rue Emile Zola </t>
  </si>
  <si>
    <t>2026-07-29 00:15:33</t>
  </si>
  <si>
    <t>2026-07-31 08:10:16</t>
  </si>
  <si>
    <t>5233242-28617</t>
  </si>
  <si>
    <t>45407589237000*1
45242109395208*1
58283536580872*1
45242109329672*1</t>
  </si>
  <si>
    <t>Le Crayon Intemporel - Aluminium
Le Crayon Intemporel - Nuit
🎁 Mines colorées (100% off) - Pack de 12 mines | 47% d'économie
Le Crayon Intemporel - Carmin</t>
  </si>
  <si>
    <t>Thibault Jamet</t>
  </si>
  <si>
    <t>87500156466410</t>
  </si>
  <si>
    <t xml:space="preserve">21bis Rue François Villon </t>
  </si>
  <si>
    <t>2026-07-29 00:22:55</t>
  </si>
  <si>
    <t>2026-07-31 08:10:17</t>
  </si>
  <si>
    <t>5233242-28618</t>
  </si>
  <si>
    <t>Ophélie Donati</t>
  </si>
  <si>
    <t>87500156466383</t>
  </si>
  <si>
    <t xml:space="preserve">35 rue de la porte percy </t>
  </si>
  <si>
    <t>2026-07-29 00:27:52</t>
  </si>
  <si>
    <t>2026-07-31 08:10:18</t>
  </si>
  <si>
    <t>5233242-28619</t>
  </si>
  <si>
    <t>Christopher DOS REIS</t>
  </si>
  <si>
    <t>87500156640640</t>
  </si>
  <si>
    <t xml:space="preserve">Chemin du Carry - Résidence Lou Carry - Bât A8 </t>
  </si>
  <si>
    <t>2026-07-29 00:28:56</t>
  </si>
  <si>
    <t>2026-07-31 08:10:19</t>
  </si>
  <si>
    <t>5233242-28620</t>
  </si>
  <si>
    <t>58283536580872*1
58195854557448*1
45242109296904*1</t>
  </si>
  <si>
    <t>🎁 Mines colorées (100% off) - Pack de 12 mines | 47% d'économie
2 gommes-capuchons Shield - Noir | Pack de 2 gommes
Le Crayon Intemporel - Saturne</t>
  </si>
  <si>
    <t>Nathalie BIDOLET</t>
  </si>
  <si>
    <t>87500156640617</t>
  </si>
  <si>
    <t xml:space="preserve">931 Route du Crêt </t>
  </si>
  <si>
    <t>2026-07-29 00:34:05</t>
  </si>
  <si>
    <t>2026-07-31 08:10:20</t>
  </si>
  <si>
    <t>5233242-28621</t>
  </si>
  <si>
    <t>58195854557448*1
45407586615560*1
58283536580872*1
49624579539208*1</t>
  </si>
  <si>
    <t>2 gommes-capuchons Shield - Noir | Pack de 2 gommes
4 mines rechargeables
🎁 Mines colorées (100% off) - Pack de 12 mines | 47% d'économie
Mines colorées - Bleu clair</t>
  </si>
  <si>
    <t>sabrina outeiral</t>
  </si>
  <si>
    <t>87500156466428</t>
  </si>
  <si>
    <t xml:space="preserve">74 Chemin d'Aguerria </t>
  </si>
  <si>
    <t>2026-07-29 00:36:02</t>
  </si>
  <si>
    <t>2026-07-31 08:10:21</t>
  </si>
  <si>
    <t>5233242-28622</t>
  </si>
  <si>
    <t>Crayon*1
Gravure Personnalisée*1
Coffret Cadeau*1
12 Mines*1</t>
  </si>
  <si>
    <t>Le Crayon Intemporel - Obsidienne
Gravure Personnalisée
Coffret Cadeau
🎁 Mines colorées (100% off) - Pack de 12 mines | 47% d'économie</t>
  </si>
  <si>
    <t>Helena Hadjadj</t>
  </si>
  <si>
    <t>TYZRB0014173561YQ</t>
  </si>
  <si>
    <t xml:space="preserve">205 Allée des Genêts </t>
  </si>
  <si>
    <t>2026-07-29 00:55:27</t>
  </si>
  <si>
    <t>2026-07-31 13:18:24</t>
  </si>
  <si>
    <t>5233242-28623</t>
  </si>
  <si>
    <t>Chloe Gomes Martins</t>
  </si>
  <si>
    <t>87500156640599</t>
  </si>
  <si>
    <t xml:space="preserve">3bis Ruelle Bourg Le Vicomte </t>
  </si>
  <si>
    <t>2026-07-29 00:55:34</t>
  </si>
  <si>
    <t>2026-07-31 08:10:23</t>
  </si>
  <si>
    <t>5233242-28624</t>
  </si>
  <si>
    <t>45407586615560*1
58195854557448*6
58283536580872*1</t>
  </si>
  <si>
    <t>4 mines rechargeables
2 gommes-capuchons Shield - Noir | Pack de 2 gommes
🎁 Mines colorées (100% off) - Pack de 12 mines | 47% d'économie</t>
  </si>
  <si>
    <t>Jérémie Mosnier</t>
  </si>
  <si>
    <t>87500156466389</t>
  </si>
  <si>
    <t xml:space="preserve">117 avenue de l'Hermet </t>
  </si>
  <si>
    <t>2026-07-29 00:59:11</t>
  </si>
  <si>
    <t>2026-07-31 08:10:24</t>
  </si>
  <si>
    <t>5233242-28625</t>
  </si>
  <si>
    <t>2019317219736456</t>
  </si>
  <si>
    <t xml:space="preserve">936 Rue Roland </t>
  </si>
  <si>
    <t>2026-07-29 01:07:24</t>
  </si>
  <si>
    <t>2026-07-31 11:52:35</t>
  </si>
  <si>
    <t>5233242-28626</t>
  </si>
  <si>
    <t>Crayon*1
Crayon*1
Crayon*1
2 Gomme *2
12 Mines*1
Carnet *1</t>
  </si>
  <si>
    <t>Le Crayon Intemporel - Jade
Le Crayon Intemporel - Carmin
Le Crayon Intemporel - Nuit
2 gommes-capuchons Shield - Noir | Pack de 2 gommes
🎁 Mines colorées (100% off) - Pack de 12 mines | 47% d'économie
Le Carnet Parfait</t>
  </si>
  <si>
    <t>Jean-Jacques Payot</t>
  </si>
  <si>
    <t>Schransdreef 46 JPM Investment &amp; Services srl</t>
  </si>
  <si>
    <t>2026-07-29 01:10:37</t>
  </si>
  <si>
    <t>5233242-28627</t>
  </si>
  <si>
    <t>2 gommes-capuchons Shield - Noir | Pack de 2 gommes
Le Crayon Intemporel - Aluminium
Le Crayon Intemporel - Carmin
🎁 Mines colorées (100% off) - Pack de 12 mines | 47% d'économie
Le Crayon Intemporel - Obsidienne</t>
  </si>
  <si>
    <t>Angélique baur</t>
  </si>
  <si>
    <t>YT2621000702017745</t>
  </si>
  <si>
    <t xml:space="preserve">Chemin du Grand Canal 4a </t>
  </si>
  <si>
    <t>2026-07-29 01:31:04</t>
  </si>
  <si>
    <t>5233242-28628</t>
  </si>
  <si>
    <t>Vincent Plouvin</t>
  </si>
  <si>
    <t>87500156640615</t>
  </si>
  <si>
    <t xml:space="preserve">85 allee romaine </t>
  </si>
  <si>
    <t>2026-07-29 02:02:35</t>
  </si>
  <si>
    <t>2026-07-31 08:10:25</t>
  </si>
  <si>
    <t>5233242-28629</t>
  </si>
  <si>
    <t>Guillaume Garnier</t>
  </si>
  <si>
    <t>87500156640632</t>
  </si>
  <si>
    <t xml:space="preserve">27 Allée du Grand Vallon </t>
  </si>
  <si>
    <t>2026-07-29 02:03:02</t>
  </si>
  <si>
    <t>2026-07-31 08:10:26</t>
  </si>
  <si>
    <t>5233242-28630</t>
  </si>
  <si>
    <t>Alice Gachet</t>
  </si>
  <si>
    <t>YT2621000702017836</t>
  </si>
  <si>
    <t xml:space="preserve">Le Cheminet 8 </t>
  </si>
  <si>
    <t>2026-07-29 02:05:31</t>
  </si>
  <si>
    <t>2026-07-31 11:41:26</t>
  </si>
  <si>
    <t>5233242-28631</t>
  </si>
  <si>
    <t>Le Crayon Intemporel - Saturne
Gravure Personnalisée
2 gommes-capuchons Shield - Noir | Pack de 2 gommes
🎁 Mines colorées (100% off) - Pack de 12 mines | 47% d'économie</t>
  </si>
  <si>
    <t>Pierre Didier</t>
  </si>
  <si>
    <t>TYZRB0014159473YQ</t>
  </si>
  <si>
    <t xml:space="preserve">2 Route de Nauroy </t>
  </si>
  <si>
    <t>2026-07-29 02:20:06</t>
  </si>
  <si>
    <t>2026-07-31 13:18:26</t>
  </si>
  <si>
    <t>5233242-28632</t>
  </si>
  <si>
    <t>jacques pessereau</t>
  </si>
  <si>
    <t>87500156466376</t>
  </si>
  <si>
    <t xml:space="preserve">1 Lieu Dit la Croix Rouge </t>
  </si>
  <si>
    <t>2026-07-29 02:29:55</t>
  </si>
  <si>
    <t>2026-07-31 08:10:27</t>
  </si>
  <si>
    <t>5233242-28633</t>
  </si>
  <si>
    <t>Flo Mouthon Perso</t>
  </si>
  <si>
    <t>87500156466388</t>
  </si>
  <si>
    <t>365 Louis Pasteur</t>
  </si>
  <si>
    <t>2026-07-29 02:50:51</t>
  </si>
  <si>
    <t>2026-07-31 08:32:18</t>
  </si>
  <si>
    <t>5233242-28634</t>
  </si>
  <si>
    <t>58283536580872*1
45242109264136*2
45242109264136*1</t>
  </si>
  <si>
    <t>🎁 Mines colorées (100% off) - Pack de 12 mines | 47% d'économie
Le Crayon Intemporel - Jade
Le Crayon Intemporel - Jade</t>
  </si>
  <si>
    <t>kevin ferrenbach</t>
  </si>
  <si>
    <t>87500156640593</t>
  </si>
  <si>
    <t>55 Ter Quai Louis Ferber</t>
  </si>
  <si>
    <t>2026-07-29 02:57:20</t>
  </si>
  <si>
    <t>2026-07-31 08:32:19</t>
  </si>
  <si>
    <t>5233242-28635</t>
  </si>
  <si>
    <t>Alex Barcelon Guesney</t>
  </si>
  <si>
    <t>87500156640650</t>
  </si>
  <si>
    <t xml:space="preserve">3 Rue Jean Cocteau </t>
  </si>
  <si>
    <t>2026-07-29 03:03:18</t>
  </si>
  <si>
    <t>2026-07-31 08:32:20</t>
  </si>
  <si>
    <t>5233242-28636</t>
  </si>
  <si>
    <t>58283536580872*1
45242109395208*2
45242109329672*1</t>
  </si>
  <si>
    <t>🎁 Mines colorées (100% off) - Pack de 12 mines | 47% d'économie
Le Crayon Intemporel - Nuit
Le Crayon Intemporel - Carmin</t>
  </si>
  <si>
    <t>Dylan Gasteau</t>
  </si>
  <si>
    <t>87500156466385</t>
  </si>
  <si>
    <t>120 Chemin  aux Boeufs AD’BARRASSER</t>
  </si>
  <si>
    <t>2026-07-29 03:05:16</t>
  </si>
  <si>
    <t>2026-07-31 08:32:22</t>
  </si>
  <si>
    <t>5233242-28637</t>
  </si>
  <si>
    <t>Alexis De Gorsse</t>
  </si>
  <si>
    <t>87500156466405</t>
  </si>
  <si>
    <t xml:space="preserve">4 Rue du Saint Barthelemy </t>
  </si>
  <si>
    <t>2026-07-29 03:22:29</t>
  </si>
  <si>
    <t>2026-07-31 08:32:23</t>
  </si>
  <si>
    <t>5233242-28638</t>
  </si>
  <si>
    <t>45242109329672*1
45407586615560*1
58195854557448*1
58283536580872*1</t>
  </si>
  <si>
    <t>Le Crayon Intemporel - Carmin
4 mines rechargeables
2 gommes-capuchons Shield - Noir | Pack de 2 gommes
🎁 Mines colorées (100% off) - Pack de 12 mines | 47% d'économie</t>
  </si>
  <si>
    <t>Damien CARPENTIER</t>
  </si>
  <si>
    <t>87500156640627</t>
  </si>
  <si>
    <t xml:space="preserve">17 Bis Rue de Verdun </t>
  </si>
  <si>
    <t>2026-07-29 03:29:52</t>
  </si>
  <si>
    <t>2026-07-31 08:23:52</t>
  </si>
  <si>
    <t>5233242-28639</t>
  </si>
  <si>
    <t>45407586615560*1
45242109264136*1
45407589237000*1
58283536580872*1
45242109296904*1</t>
  </si>
  <si>
    <t>4 mines rechargeables
Le Crayon Intemporel - Jade
Le Crayon Intemporel - Aluminium
🎁 Mines colorées (100% off) - Pack de 12 mines | 47% d'économie
Le Crayon Intemporel - Saturne</t>
  </si>
  <si>
    <t>Sebastien Bogaert</t>
  </si>
  <si>
    <t>87500156466399</t>
  </si>
  <si>
    <t xml:space="preserve">36Rue de Boissy </t>
  </si>
  <si>
    <t>2026-07-29 03:36:08</t>
  </si>
  <si>
    <t>2026-07-31 08:23:53</t>
  </si>
  <si>
    <t>5233242-28640</t>
  </si>
  <si>
    <t>45242109231368*1
52838739738888*1
45407586615560*1
58283536580872*1</t>
  </si>
  <si>
    <t>Le Crayon Intemporel - Obsidienne
Coffret Cadeau
4 mines rechargeables
🎁 Mines colorées (100% off) - Pack de 12 mines | 47% d'économie</t>
  </si>
  <si>
    <t>Romain Vergé-Pallès</t>
  </si>
  <si>
    <t>87500156466387</t>
  </si>
  <si>
    <t xml:space="preserve">8 Rue de la Croisette </t>
  </si>
  <si>
    <t>2026-07-29 03:44:34</t>
  </si>
  <si>
    <t>2026-07-31 08:23:54</t>
  </si>
  <si>
    <t>5233242-28641</t>
  </si>
  <si>
    <t>12 Mines*1
4 mine*1
Crayon*1
2 Gomme *1</t>
  </si>
  <si>
    <t>🎁 Mines colorées (100% off) - Pack de 12 mines | 47% d'économie
Lot de 4 mines rechargeables
Le Crayon Intemporel - Nuit
2 gommes-capuchons Shield - Noir | Pack de 2 gommes</t>
  </si>
  <si>
    <t>Thibault Gerbex</t>
  </si>
  <si>
    <t>YT2621000701818234</t>
  </si>
  <si>
    <t xml:space="preserve">Rte de la bioleire 11 </t>
  </si>
  <si>
    <t>2026-07-29 03:48:28</t>
  </si>
  <si>
    <t>5233242-28642</t>
  </si>
  <si>
    <t>2 gommes-capuchons Shield - Noir | Pack de 2 gommes
4 mines rechargeables
🎁 Mines colorées (100% off) - Pack de 12 mines | 47% d'économie
Le Crayon Intemporel - Nuit
Gravure Personnalisée</t>
  </si>
  <si>
    <t>Ibisevic Almin</t>
  </si>
  <si>
    <t>TYZRB0014161287YQ</t>
  </si>
  <si>
    <t xml:space="preserve">52F Rue Jean Jaurès </t>
  </si>
  <si>
    <t>2026-07-29 04:04:53</t>
  </si>
  <si>
    <t>2026-07-31 13:18:28</t>
  </si>
  <si>
    <t>5233242-28643</t>
  </si>
  <si>
    <t>Sabine Chambaraud</t>
  </si>
  <si>
    <t>87500156640630</t>
  </si>
  <si>
    <t xml:space="preserve">3096 Rue du Général de Gaulle </t>
  </si>
  <si>
    <t>2026-07-29 04:07:04</t>
  </si>
  <si>
    <t>2026-07-31 08:23:55</t>
  </si>
  <si>
    <t>5233242-28644</t>
  </si>
  <si>
    <t>12 Mines*1
Crayon*1
Coffret Cadeau*1</t>
  </si>
  <si>
    <t>🎁 Mines colorées (100% off) - Pack de 12 mines | 47% d'économie
Le Crayon Intemporel - Nuit
Coffret Cadeau</t>
  </si>
  <si>
    <t>Lucie Dirlewanger</t>
  </si>
  <si>
    <t>YT2621000702018057</t>
  </si>
  <si>
    <t xml:space="preserve">Quai Charles-Page 15 </t>
  </si>
  <si>
    <t>2026-07-29 04:11:43</t>
  </si>
  <si>
    <t>2026-07-31 11:41:27</t>
  </si>
  <si>
    <t>5233242-28645</t>
  </si>
  <si>
    <t>58195854557448*1
58283536580872*1
45407589237000*1</t>
  </si>
  <si>
    <t>2 gommes-capuchons Shield - Noir | Pack de 2 gommes
🎁 Mines colorées (100% off) - Pack de 12 mines | 47% d'économie
Le Crayon Intemporel - Aluminium</t>
  </si>
  <si>
    <t>Jerome Goze</t>
  </si>
  <si>
    <t>87500156640624</t>
  </si>
  <si>
    <t xml:space="preserve">3 Rue Lecuirot </t>
  </si>
  <si>
    <t>2026-07-29 04:20:19</t>
  </si>
  <si>
    <t>2026-07-31 08:23:56</t>
  </si>
  <si>
    <t>5233242-28646</t>
  </si>
  <si>
    <t>45407589237000*1
45242109329672*1
58283536580872*1
45242109395208*1</t>
  </si>
  <si>
    <t>Le Crayon Intemporel - Aluminium
Le Crayon Intemporel - Carmin
🎁 Mines colorées (100% off) - Pack de 12 mines | 47% d'économie
Le Crayon Intemporel - Nuit</t>
  </si>
  <si>
    <t>Aurore Pineau</t>
  </si>
  <si>
    <t>87500156466381</t>
  </si>
  <si>
    <t xml:space="preserve">3 rue de chateaudun </t>
  </si>
  <si>
    <t>2026-07-29 04:27:01</t>
  </si>
  <si>
    <t>2026-07-31 08:23:57</t>
  </si>
  <si>
    <t>5233242-28647</t>
  </si>
  <si>
    <t>45242109329672*1
45242109231368*1
45407589237000*1
58283536580872*1</t>
  </si>
  <si>
    <t>Le Crayon Intemporel - Carmin
Le Crayon Intemporel - Obsidienne
Le Crayon Intemporel - Aluminium
🎁 Mines colorées (100% off) - Pack de 12 mines | 47% d'économie</t>
  </si>
  <si>
    <t>Pierre Bouga</t>
  </si>
  <si>
    <t>87500156640629</t>
  </si>
  <si>
    <t xml:space="preserve">2 Chemin de la Barmette </t>
  </si>
  <si>
    <t>2026-07-29 04:29:06</t>
  </si>
  <si>
    <t>2026-07-31 08:23:58</t>
  </si>
  <si>
    <t>5233242-28648</t>
  </si>
  <si>
    <t>2 gommes-capuchons Shield - Noir | Pack de 2 gommes
🎁 Mines colorées (100% off) - Pack de 12 mines | 47% d'économie
Le Crayon Intemporel - Jade
Gravure Personnalisée</t>
  </si>
  <si>
    <t>Mae Guardini</t>
  </si>
  <si>
    <t>TYZRB0014173404YQ</t>
  </si>
  <si>
    <t xml:space="preserve">16 Rue des Martyrs </t>
  </si>
  <si>
    <t>2026-07-29 04:38:25</t>
  </si>
  <si>
    <t>2026-07-31 13:18:30</t>
  </si>
  <si>
    <t>5233242-28649</t>
  </si>
  <si>
    <t>58195854557448*2
45407586615560*1
58283536580872*1
49624586256648*1</t>
  </si>
  <si>
    <t>2 gommes-capuchons Shield - Noir | Pack de 2 gommes
4 mines rechargeables
🎁 Mines colorées (100% off) - Pack de 12 mines | 47% d'économie
Mines colorées - Pack de 6 mines | 36% d'économie</t>
  </si>
  <si>
    <t>Francois Sartini</t>
  </si>
  <si>
    <t>87500156466414</t>
  </si>
  <si>
    <t xml:space="preserve">329 Kerveloche </t>
  </si>
  <si>
    <t>2026-07-29 04:55:00</t>
  </si>
  <si>
    <t>2026-07-31 08:24:00</t>
  </si>
  <si>
    <t>5233242-28650</t>
  </si>
  <si>
    <t>2 Gomme *1
4 mines*1
12 Mines*1
Crayon*1
Gravure Personnalisée*1
Coffret Cadeau*1</t>
  </si>
  <si>
    <t>2 gommes-capuchons Shield - Noir | Pack de 2 gommes
4 mines rechargeables
🎁 Mines colorées (100% off) - Pack de 12 mines | 47% d'économie
Le Crayon Intemporel - Obsidienne
Gravure Personnalisée
Coffret Cadeau</t>
  </si>
  <si>
    <t>Riad JOUINI</t>
  </si>
  <si>
    <t>TYZRB0014140307YQ</t>
  </si>
  <si>
    <t xml:space="preserve">42 Rue Bréguet </t>
  </si>
  <si>
    <t>2026-07-29 04:57:06</t>
  </si>
  <si>
    <t>2026-07-31 13:18:32</t>
  </si>
  <si>
    <t>5233242-28651</t>
  </si>
  <si>
    <t>Crayon*1
Gravure Personnalisée*1
Coffret Cadeau*1
2 Gomme *1
12 Mines*1
Crayon*1
Gravure Personnalisée*1
Crayon*1</t>
  </si>
  <si>
    <t>Le Crayon Intemporel - Saturne
Gravure Personnalisée
Coffret Cadeau
2 gommes-capuchons Shield - Noir | Pack de 2 gommes
🎁 Mines colorées (100% off) - Pack de 12 mines | 47% d'économie
Le Crayon Intemporel - Nuit
Gravure Personnalisée
Le Crayon Intemporel - Carmin</t>
  </si>
  <si>
    <t>reinaldo barroso</t>
  </si>
  <si>
    <t>YT2621000701818374</t>
  </si>
  <si>
    <t>Rue des Finettes 13 App. 72 7ème étage</t>
  </si>
  <si>
    <t>2026-07-29 05:03:14</t>
  </si>
  <si>
    <t>2026-07-31 13:39:21</t>
  </si>
  <si>
    <t>5233242-28652</t>
  </si>
  <si>
    <t>45407586615560*1
58195854557448*1
45407589237000*1
45242109329672*1
58283536580872*1
45242109231368*1</t>
  </si>
  <si>
    <t>4 mines rechargeables
2 gommes-capuchons Shield - Noir | Pack de 2 gommes
Le Crayon Intemporel - Aluminium
Le Crayon Intemporel - Carmin
🎁 Mines colorées (100% off) - Pack de 12 mines | 47% d'économie
Le Crayon Intemporel - Obsidienne</t>
  </si>
  <si>
    <t>Claire Pitard</t>
  </si>
  <si>
    <t>87500156466427</t>
  </si>
  <si>
    <t xml:space="preserve">2088 Route de Villeneuve, Meulles </t>
  </si>
  <si>
    <t>2026-07-29 05:17:59</t>
  </si>
  <si>
    <t>2026-07-31 08:24:01</t>
  </si>
  <si>
    <t>5233242-28653</t>
  </si>
  <si>
    <t>45407586615560*1
58283536580872*1
45242109296904*1</t>
  </si>
  <si>
    <t>4 mines rechargeables
🎁 Mines colorées (100% off) - Pack de 12 mines | 47% d'économie
Le Crayon Intemporel - Saturne</t>
  </si>
  <si>
    <t>Albert Ramos Dempere</t>
  </si>
  <si>
    <t>87500156466402</t>
  </si>
  <si>
    <t>41 Rue Aristide briand 5eme etage porte f asc</t>
  </si>
  <si>
    <t>2026-07-29 05:19:21</t>
  </si>
  <si>
    <t>2026-07-31 08:24:02</t>
  </si>
  <si>
    <t>5233242-28654</t>
  </si>
  <si>
    <t>🎁 Mines colorées (100% off) - Pack de 12 mines | 47% d'économie
Le Crayon Intemporel - Carmin
Gravure Personnalisée</t>
  </si>
  <si>
    <t>Benjamin Titeux</t>
  </si>
  <si>
    <t>TYZRB0014152411YQ</t>
  </si>
  <si>
    <t xml:space="preserve">2 Place Du Cimetière </t>
  </si>
  <si>
    <t>2026-07-29 05:19:57</t>
  </si>
  <si>
    <t>2026-07-31 13:18:34</t>
  </si>
  <si>
    <t>5233242-28655</t>
  </si>
  <si>
    <t>4 mines*1
Crayon*1
Crayon*1
12 Mines*1
Crayon*1</t>
  </si>
  <si>
    <t>4 mines rechargeables
Le Crayon Intemporel - Jade
Le Crayon Intemporel - Nuit
🎁 Mines colorées (100% off) - Pack de 12 mines | 47% d'économie
Le Crayon Intemporel - Obsidienne</t>
  </si>
  <si>
    <t>Martin Forcier</t>
  </si>
  <si>
    <t>2019317219737453</t>
  </si>
  <si>
    <t xml:space="preserve">1720 Rue Tourigny </t>
  </si>
  <si>
    <t>2026-07-29 05:21:23</t>
  </si>
  <si>
    <t>2026-07-31 11:52:36</t>
  </si>
  <si>
    <t>5233242-28656</t>
  </si>
  <si>
    <t>Crayon*1
2 Gomme *1
Crayon*1
12 Mines*1
Crayon*1</t>
  </si>
  <si>
    <t>Le Crayon Intemporel - Saturne
2 gommes-capuchons Shield - Noir | Pack de 2 gommes
Le Crayon Intemporel - Jade
🎁 Mines colorées (100% off) - Pack de 12 mines | 47% d'économie
Le Crayon Intemporel - Obsidienne</t>
  </si>
  <si>
    <t>Mallory Tant</t>
  </si>
  <si>
    <t>54 Rue Du Moulin 54</t>
  </si>
  <si>
    <t>2026-07-29 05:24:26</t>
  </si>
  <si>
    <t>5233242-28657</t>
  </si>
  <si>
    <t>2 gommes-capuchons Shield - Noir | Pack de 2 gommes
🎁 Mines colorées (100% off) - Pack de 12 mines | 47% d'économie
Le Crayon Intemporel - Saturne
Gravure Personnalisée</t>
  </si>
  <si>
    <t>Baptiste ENCINAS</t>
  </si>
  <si>
    <t>TYZRB0014136697YQ</t>
  </si>
  <si>
    <t xml:space="preserve">20 rue du docteur Jean Serie </t>
  </si>
  <si>
    <t>2026-07-29 05:26:58</t>
  </si>
  <si>
    <t>2026-07-31 13:18:36</t>
  </si>
  <si>
    <t>5233242-28658</t>
  </si>
  <si>
    <t>49624579539208*1
58195854557448*1
58283536580872*1
45242109296904*1</t>
  </si>
  <si>
    <t>Mines colorées - Bleu clair
2 gommes-capuchons Shield - Noir | Pack de 2 gommes
🎁 Mines colorées (100% off) - Pack de 12 mines | 47% d'économie
Le Crayon Intemporel - Saturne</t>
  </si>
  <si>
    <t>Pamela Hamdi</t>
  </si>
  <si>
    <t>87500156640625</t>
  </si>
  <si>
    <t>Avenue des biches La Civelle</t>
  </si>
  <si>
    <t>2026-07-29 05:31:10</t>
  </si>
  <si>
    <t>2026-07-31 08:24:03</t>
  </si>
  <si>
    <t>5233242-28659</t>
  </si>
  <si>
    <t>12 Mines*1
Crayon*2
Gravure Personnalisée*2
Crayon*1
Coffret Cadeau*1</t>
  </si>
  <si>
    <t>🎁 Mines colorées (100% off) - Pack de 12 mines | 47% d'économie
Le Crayon Intemporel - Carmin
Gravure Personnalisée
Le Crayon Intemporel - Carmin
Coffret Cadeau</t>
  </si>
  <si>
    <t>Nicolas Bercy</t>
  </si>
  <si>
    <t>TYZRB0014138486YQ</t>
  </si>
  <si>
    <t>82 RUE GRAECINUS Bercy Nicolas EI</t>
  </si>
  <si>
    <t>2026-07-29 05:32:00</t>
  </si>
  <si>
    <t>2026-07-31 13:18:37</t>
  </si>
  <si>
    <t>5233242-28660</t>
  </si>
  <si>
    <t>45407586615560*1
45242109329672*1
45242109395208*1
58283536580872*1
45242109296904*1</t>
  </si>
  <si>
    <t>4 mines rechargeables
Le Crayon Intemporel - Carmin
Le Crayon Intemporel - Nuit
🎁 Mines colorées (100% off) - Pack de 12 mines | 47% d'économie
Le Crayon Intemporel - Saturne</t>
  </si>
  <si>
    <t>Dorian Novel-cattin</t>
  </si>
  <si>
    <t>87500156466392</t>
  </si>
  <si>
    <t>10 RUE DE LA DURANCE 10</t>
  </si>
  <si>
    <t>2026-07-29 05:33:21</t>
  </si>
  <si>
    <t>2026-07-31 08:24:04</t>
  </si>
  <si>
    <t>5233242-28661</t>
  </si>
  <si>
    <t>laetitia labarre</t>
  </si>
  <si>
    <t>TYZRB0014136698YQ</t>
  </si>
  <si>
    <t xml:space="preserve">4 Rue Louise Michel </t>
  </si>
  <si>
    <t>2026-07-29 05:51:58</t>
  </si>
  <si>
    <t>2026-07-31 13:18:39</t>
  </si>
  <si>
    <t>5233242-28662</t>
  </si>
  <si>
    <t>Benjamin Aulnette</t>
  </si>
  <si>
    <t>87500156466406</t>
  </si>
  <si>
    <t xml:space="preserve">12 Rue Bardinet </t>
  </si>
  <si>
    <t>2026-07-29 06:00:55</t>
  </si>
  <si>
    <t>2026-07-31 08:24:05</t>
  </si>
  <si>
    <t>5233242-28663</t>
  </si>
  <si>
    <t>45407586615560*1
58274131771656*1
58283536580872*1
58195854557448*1</t>
  </si>
  <si>
    <t>4 mines rechargeables
Le Carnet Parfait
🎁 Mines colorées (100% off) - Pack de 12 mines | 47% d'économie
2 gommes-capuchons Shield - Noir | Pack de 2 gommes</t>
  </si>
  <si>
    <t>STEPHANE DAVID</t>
  </si>
  <si>
    <t>9L37141971586</t>
  </si>
  <si>
    <t xml:space="preserve">33 boulevard Maurice Ravel </t>
  </si>
  <si>
    <t>2026-07-29 06:05:48</t>
  </si>
  <si>
    <t>2026-07-31 08:24:07</t>
  </si>
  <si>
    <t>5233242-28664</t>
  </si>
  <si>
    <t>Bubiana Guillaume</t>
  </si>
  <si>
    <t>TYZRB0014133236YQ</t>
  </si>
  <si>
    <t>Bubiana Guillaume 2 Allée De Coubron</t>
  </si>
  <si>
    <t>2026-07-29 06:09:51</t>
  </si>
  <si>
    <t>2026-07-31 13:18:41</t>
  </si>
  <si>
    <t>5233242-28665</t>
  </si>
  <si>
    <t>Timéo Colombeau</t>
  </si>
  <si>
    <t>TYZRB0014173405YQ</t>
  </si>
  <si>
    <t xml:space="preserve">9 Chemin des rues au p'tit bonheur </t>
  </si>
  <si>
    <t>2026-07-29 06:41:52</t>
  </si>
  <si>
    <t>2026-07-31 13:18:42</t>
  </si>
  <si>
    <t>5233242-28666</t>
  </si>
  <si>
    <t>Mathieu Gardé</t>
  </si>
  <si>
    <t>87500156466378</t>
  </si>
  <si>
    <t xml:space="preserve">1 Rue Paul Pugnaud </t>
  </si>
  <si>
    <t>2026-07-29 07:03:12</t>
  </si>
  <si>
    <t>2026-07-31 08:24:08</t>
  </si>
  <si>
    <t>5233242-28667</t>
  </si>
  <si>
    <t>Jeremie Bernard</t>
  </si>
  <si>
    <t>YT2621000701818432</t>
  </si>
  <si>
    <t xml:space="preserve">Rte. Sur Les Cotes 1 </t>
  </si>
  <si>
    <t>2026-07-29 07:17:30</t>
  </si>
  <si>
    <t>2026-07-31 13:20:58</t>
  </si>
  <si>
    <t>5233242-28668</t>
  </si>
  <si>
    <t>58195854557448*1
58283536580872*1
45242109329672*1</t>
  </si>
  <si>
    <t>2 gommes-capuchons Shield - Noir | Pack de 2 gommes
🎁 Mines colorées (100% off) - Pack de 12 mines | 47% d'économie
Le Crayon Intemporel - Carmin</t>
  </si>
  <si>
    <t>Mathys Veron</t>
  </si>
  <si>
    <t>87500156466375</t>
  </si>
  <si>
    <t xml:space="preserve">39 Place de Molay </t>
  </si>
  <si>
    <t>2026-07-29 08:16:52</t>
  </si>
  <si>
    <t>2026-07-31 08:24:09</t>
  </si>
  <si>
    <t>5233242-28669</t>
  </si>
  <si>
    <t>Victor Vagnier</t>
  </si>
  <si>
    <t>87500156640605</t>
  </si>
  <si>
    <t xml:space="preserve">32 Rue Boyer </t>
  </si>
  <si>
    <t>2026-07-29 08:29:34</t>
  </si>
  <si>
    <t>2026-07-31 08:24:10</t>
  </si>
  <si>
    <t>5233242-28670</t>
  </si>
  <si>
    <t>Talal Bouakkaz</t>
  </si>
  <si>
    <t>87500156640598</t>
  </si>
  <si>
    <t xml:space="preserve">12 Chemin De La Joute </t>
  </si>
  <si>
    <t>2026-07-29 08:31:32</t>
  </si>
  <si>
    <t>2026-07-31 08:24:11</t>
  </si>
  <si>
    <t>5233242-28671</t>
  </si>
  <si>
    <t>4 mines*1
 Crayon*1
Crayon*1
2 Gomme *1
12 Mines*1
Crayon*1
6 mines*1</t>
  </si>
  <si>
    <t>4 mines rechargeables
Le Crayon Intemporel - Aluminium
Le Crayon Intemporel - Nuit
2 gommes-capuchons Shield - Noir | Pack de 2 gommes
🎁 Mines colorées (100% off) - Pack de 12 mines | 47% d'économie
Le Crayon Intemporel - Obsidienne
Mines colorées - Pack de 6 mines | 36% d'économie</t>
  </si>
  <si>
    <t>Lionel Gigot</t>
  </si>
  <si>
    <t>LD798940494BE</t>
  </si>
  <si>
    <t xml:space="preserve">Chaussée de Waterloo, 695/8 </t>
  </si>
  <si>
    <t>2026-07-29 08:34:22</t>
  </si>
  <si>
    <t>5233242-28672</t>
  </si>
  <si>
    <t>Adil Mouhab</t>
  </si>
  <si>
    <t>87500156640618</t>
  </si>
  <si>
    <t>7.29订单28565-28672需雕刻的铅笔已经统计。</t>
  </si>
  <si>
    <t xml:space="preserve">7 Rue de l'Amiral Mouchez </t>
  </si>
  <si>
    <t>2026-07-29 08:54:46</t>
  </si>
  <si>
    <t>2026-07-31 08:24:12</t>
  </si>
  <si>
    <t>5233242-28673</t>
  </si>
  <si>
    <t>Baptise Moreau</t>
  </si>
  <si>
    <t>87500156640597</t>
  </si>
  <si>
    <t xml:space="preserve">6 Lieu Dit la Doretiere </t>
  </si>
  <si>
    <t>2026-07-29 12:35:45</t>
  </si>
  <si>
    <t>2026-07-31 08:24:13</t>
  </si>
  <si>
    <t>5233242-28674</t>
  </si>
  <si>
    <t xml:space="preserve"> Crayon*1
Gravure Personnalisée*1
2 Gomme *1
12 Mines*1</t>
  </si>
  <si>
    <t>Le Crayon Intemporel - Aluminium
Gravure Personnalisée
2 gommes-capuchons Shield - Noir | Pack de 2 gommes
🎁 Mines colorées (100% off) - Pack de 12 mines | 47% d'économie</t>
  </si>
  <si>
    <t>Julie Perron</t>
  </si>
  <si>
    <t>2019317228979455</t>
  </si>
  <si>
    <t xml:space="preserve">4679 Rue De Bapaume </t>
  </si>
  <si>
    <t>2026-07-29 12:37:29</t>
  </si>
  <si>
    <t>5233242-28675</t>
  </si>
  <si>
    <t>Philippe Fortuné</t>
  </si>
  <si>
    <t>87500156640601</t>
  </si>
  <si>
    <t xml:space="preserve">25 Rue Jean Rostand </t>
  </si>
  <si>
    <t>2026-07-29 13:11:50</t>
  </si>
  <si>
    <t>2026-07-31 08:24:15</t>
  </si>
  <si>
    <t>5233242-28676</t>
  </si>
  <si>
    <t>Serge Scheidecker</t>
  </si>
  <si>
    <t>87500156640604</t>
  </si>
  <si>
    <t>2 Place Des Marronniers App 311</t>
  </si>
  <si>
    <t>2026-07-29 13:22:08</t>
  </si>
  <si>
    <t>2026-07-31 08:24:16</t>
  </si>
  <si>
    <t>5233242-28677</t>
  </si>
  <si>
    <t>45407586615560*1
58283536580872*1
45407589237000*1</t>
  </si>
  <si>
    <t>4 mines rechargeables
🎁 Mines colorées (100% off) - Pack de 12 mines | 47% d'économie
Le Crayon Intemporel - Aluminium</t>
  </si>
  <si>
    <t>Sébastien OLIVIERI</t>
  </si>
  <si>
    <t>87500156466371</t>
  </si>
  <si>
    <t xml:space="preserve">94 Chemin de Coalongia </t>
  </si>
  <si>
    <t>2026-07-29 13:54:38</t>
  </si>
  <si>
    <t>2026-07-31 08:24:17</t>
  </si>
  <si>
    <t>5233242-28678</t>
  </si>
  <si>
    <t>Elodie dufauret</t>
  </si>
  <si>
    <t>87500156466374</t>
  </si>
  <si>
    <t>16 Avenue de la Synagogue Bât A</t>
  </si>
  <si>
    <t>2026-07-29 13:55:10</t>
  </si>
  <si>
    <t>2026-07-31 08:24:18</t>
  </si>
  <si>
    <t>5233242-28679</t>
  </si>
  <si>
    <t>Cylia Monrocq</t>
  </si>
  <si>
    <t>TYZRB0014170016YQ</t>
  </si>
  <si>
    <t xml:space="preserve">17 Rue des Canadiens </t>
  </si>
  <si>
    <t>2026-07-29 14:24:03</t>
  </si>
  <si>
    <t>5233242-28680</t>
  </si>
  <si>
    <t>Stéphanie Wild</t>
  </si>
  <si>
    <t>87500156640594</t>
  </si>
  <si>
    <t xml:space="preserve">140 Rue de Vieux-Berquin </t>
  </si>
  <si>
    <t>2026-07-29 14:29:40</t>
  </si>
  <si>
    <t>2026-07-31 08:24:19</t>
  </si>
  <si>
    <t>5233242-28681</t>
  </si>
  <si>
    <t>58195854557448*1
45242109395208*1
45242109296904*1
58283536580872*1
45242109231368*1</t>
  </si>
  <si>
    <t>2 gommes-capuchons Shield - Noir | Pack de 2 gommes
Le Crayon Intemporel - Nuit
Le Crayon Intemporel - Saturne
🎁 Mines colorées (100% off) - Pack de 12 mines | 47% d'économie
Le Crayon Intemporel - Obsidienne</t>
  </si>
  <si>
    <t>Élodie Albendin</t>
  </si>
  <si>
    <t>87500156640595</t>
  </si>
  <si>
    <t xml:space="preserve">37 Rue Des Hayettes </t>
  </si>
  <si>
    <t>2026-07-29 14:36:09</t>
  </si>
  <si>
    <t>2026-07-31 08:44:14</t>
  </si>
  <si>
    <t>5233242-28682</t>
  </si>
  <si>
    <t>58195854557448*2
58283536580872*1
45242109329672*1</t>
  </si>
  <si>
    <t>Fabien Giton</t>
  </si>
  <si>
    <t>'87500156466373</t>
  </si>
  <si>
    <t>6 Rue Paul Barbe Fabien Giton</t>
  </si>
  <si>
    <t>2026-07-29 15:10:23</t>
  </si>
  <si>
    <t>2026-08-01 05:42:11</t>
  </si>
  <si>
    <t>5233242-28683</t>
  </si>
  <si>
    <t>Crayon*1
Gravure Personnalisée*1
Coffret Cadeau*1
6 mines*1</t>
  </si>
  <si>
    <t>Le Crayon Intemporel - Carmin
Gravure Personnalisée
Coffret Cadeau
Mines colorées - Pack de 6 mines | 36% d'économie</t>
  </si>
  <si>
    <t>Samuel Gibert</t>
  </si>
  <si>
    <t>TYZRB0014164753YQ</t>
  </si>
  <si>
    <t xml:space="preserve">4 Rue des Ombelles </t>
  </si>
  <si>
    <t>2026-07-29 17:44:36</t>
  </si>
  <si>
    <t>5233242-28684</t>
  </si>
  <si>
    <t>45407586615560*1
58195854557448*1
45242109395208*1</t>
  </si>
  <si>
    <t>4 mines rechargeables
2 gommes-capuchons Shield - Noir | Pack de 2 gommes
Le Crayon Intemporel - Nuit</t>
  </si>
  <si>
    <t>Tristan Girousse</t>
  </si>
  <si>
    <t>87500156466370</t>
  </si>
  <si>
    <t xml:space="preserve">10 Quinquies Rue Du Muguet </t>
  </si>
  <si>
    <t>2026-07-29 20:23:43</t>
  </si>
  <si>
    <t>5233242-28685</t>
  </si>
  <si>
    <t>52838739738888*3
45242109329672*1
45242109395208*1
45242109296904*1</t>
  </si>
  <si>
    <t>Coffret Cadeau
Le Crayon Intemporel - Carmin
Le Crayon Intemporel - Nuit
Le Crayon Intemporel - Saturne</t>
  </si>
  <si>
    <t>Alban NICOLAS</t>
  </si>
  <si>
    <t>9L37143973236</t>
  </si>
  <si>
    <t>7.30订单28673-28685需雕刻的铅笔已经统计</t>
  </si>
  <si>
    <t>55 Rue des Canisses Boulangerie Marie Blachère</t>
  </si>
  <si>
    <t>2026-07-29 21:08:16</t>
  </si>
  <si>
    <t>5233242-28686</t>
  </si>
  <si>
    <t>4 mines*1
Crayon*1
Gravure Personnalisée*1
Coffret Cadeau*1
6 mines*1</t>
  </si>
  <si>
    <t>4 mines rechargeables
Le Crayon Intemporel - Jade
Gravure Personnalisée
Coffret Cadeau
Mines colorées - Pack de 6 mines | 36% d'économie</t>
  </si>
  <si>
    <t>Ines Febvre</t>
  </si>
  <si>
    <t>TYZRB0014138544YQ</t>
  </si>
  <si>
    <t xml:space="preserve">Chemin de la Pier, 10 </t>
  </si>
  <si>
    <t>2026-07-30 18:20:17</t>
  </si>
  <si>
    <t>5233242-28687</t>
  </si>
  <si>
    <t>Carnet *1
Crayon*1
58329286902024*1
Crayon*1
6 mines*1
Crayon*1</t>
  </si>
  <si>
    <t>Le Carnet Parfait
Le Crayon Intemporel - Jade
Gomme-capuchon Shield - 4 gommes | 28% d'économies
Le Crayon Intemporel - Saturne
Mines colorées - Pack de 6 mines | 36% d'économie
Le Crayon Intemporel - Obsidienne</t>
  </si>
  <si>
    <t>Philippe QUENTEL</t>
  </si>
  <si>
    <t>TYZRB0014161188YQ</t>
  </si>
  <si>
    <t>6 rue du midi Escalier A - 3e étage A</t>
  </si>
  <si>
    <t>2026-07-30 23:24:28</t>
  </si>
  <si>
    <t>2026-07-31 13:18:44</t>
  </si>
  <si>
    <t>5233242-28688</t>
  </si>
  <si>
    <t>Crayon*2
Crayon*1
Gravure Personnalisée*2
Gravure Personnalisée*1</t>
  </si>
  <si>
    <t>Le Crayon Intemporel - Carmin
Le Crayon Intemporel - Carmin
Gravure Personnalisée
Gravure Personnalisée</t>
  </si>
  <si>
    <t>Pierre Goepfert</t>
  </si>
  <si>
    <t>YT2621200702246746</t>
  </si>
  <si>
    <t xml:space="preserve">Rue des Fleurs 11 </t>
  </si>
  <si>
    <t>2026-07-31 00:42:10</t>
  </si>
  <si>
    <t>5233242-28689</t>
  </si>
  <si>
    <t>12 mines*1</t>
  </si>
  <si>
    <t>Ewan Leguereau</t>
  </si>
  <si>
    <t>TYZRB0014150681YQ</t>
  </si>
  <si>
    <t>7.31订单28686-28689需雕刻铅笔已经统计</t>
  </si>
  <si>
    <t>17 Allée  Georges Peretti 17</t>
  </si>
  <si>
    <t>2026-07-31 06:01:02</t>
  </si>
  <si>
    <t>2026-07-31 13:18:45</t>
  </si>
  <si>
    <t>5233242-28690</t>
  </si>
  <si>
    <t>2 Gomme *1
4 mines*1
Crayon*1</t>
  </si>
  <si>
    <t>Gomme-capuchon Shield - 2 gommes
4 mines rechargeables
Le Crayon Intemporel - Obsidienne</t>
  </si>
  <si>
    <t>Thomas MORICE</t>
  </si>
  <si>
    <t>TYZRB0014143644YQ</t>
  </si>
  <si>
    <t xml:space="preserve">61 Avenue de Claix </t>
  </si>
  <si>
    <t>2026-07-31 17:53:36</t>
  </si>
  <si>
    <t>2026-08-01 11:04:25</t>
  </si>
  <si>
    <t>5233242-28691</t>
  </si>
  <si>
    <t>12 mines*1
 Crayon*1
Crayon*1
Crayon*1</t>
  </si>
  <si>
    <t>Mines colorées - Pack de 12 mines | 47% d'économie
Le Crayon Intemporel - Aluminium
Le Crayon Intemporel - Jade
Le Crayon Intemporel - Obsidienne</t>
  </si>
  <si>
    <t>Dunesme Helene</t>
  </si>
  <si>
    <t>TYZRB0014134982YQ</t>
  </si>
  <si>
    <t xml:space="preserve">15, Rue De La Ville Meneu </t>
  </si>
  <si>
    <t>2026-07-31 19:28:30</t>
  </si>
  <si>
    <t>2026-08-01 11:04:26</t>
  </si>
  <si>
    <t>5233242-28692</t>
  </si>
  <si>
    <t>12 mines*1
2 Gomme *1
4 mines*1
Carnet *1</t>
  </si>
  <si>
    <t>Mines colorées - Pack de 12 mines | 47% d'économie
Gomme-capuchon Shield - 2 gommes
4 mines rechargeables
Le Carnet Parfait</t>
  </si>
  <si>
    <t>Adrien Huybrechts</t>
  </si>
  <si>
    <t>TYZRB0014168290YQ</t>
  </si>
  <si>
    <t xml:space="preserve">Rue Grande 7 </t>
  </si>
  <si>
    <t>2026-07-31 19:52:01</t>
  </si>
  <si>
    <t>2026-08-01 11:04:27</t>
  </si>
  <si>
    <t>5233242-28693</t>
  </si>
  <si>
    <t>Crayon*1
Carnet *1
Crayon*1
Gravure Personnalisée*1
Coffret Cadeau*1</t>
  </si>
  <si>
    <t>🎁 Le Crayon Intemporel (100% off) - Carmin
Le Carnet Parfait
Le Crayon Intemporel - Obsidienne
Gravure Personnalisée
Coffret Cadeau</t>
  </si>
  <si>
    <t>Delphine Strée</t>
  </si>
  <si>
    <t>TYZRB0014147122YQ</t>
  </si>
  <si>
    <t xml:space="preserve">Rue du Huit Mai 49 </t>
  </si>
  <si>
    <t>2026-08-01 00:08:43</t>
  </si>
  <si>
    <t>5233242-28694</t>
  </si>
  <si>
    <t>Crayon*1
Gravure Personnalisée*1
Coffret Cadeau*1
Crayon*1
Gravure Personnalisée*1
Coffret Cadeau*1
4 mines*1
Crayon*1
Gravure Personnalisée*1</t>
  </si>
  <si>
    <t>Le Crayon Intemporel - Saturne
Gravure Personnalisée
Coffret Cadeau
Le Crayon Intemporel - Nuit
Gravure Personnalisée
Coffret Cadeau
4 mines rechargeables
Le Crayon Intemporel - Carmin
Gravure Personnalisée</t>
  </si>
  <si>
    <t>Jonah Degraeve</t>
  </si>
  <si>
    <t>TYZRB0014131544YQ</t>
  </si>
  <si>
    <t>8.1订单28690-28694需雕刻的铅笔已经统计</t>
  </si>
  <si>
    <t xml:space="preserve">1 Rue Saint-Charles </t>
  </si>
  <si>
    <t>2026-08-01 01:15:15</t>
  </si>
  <si>
    <t>5233242-28695</t>
  </si>
  <si>
    <t>thomas david</t>
  </si>
  <si>
    <t>TYZRB0014154240YQ</t>
  </si>
  <si>
    <t xml:space="preserve">11 rue Jean Mace, 75011 PARIS </t>
  </si>
  <si>
    <t>2026-08-01 17:48:14</t>
  </si>
  <si>
    <t>5233242-28696</t>
  </si>
  <si>
    <t>Crayon*1
2 Gomme *1
4 mine*1</t>
  </si>
  <si>
    <t>Le Crayon Intemporel - Nuit
Gomme-capuchon Shield - 2 gommes
Lot de 4 mines rechargeables</t>
  </si>
  <si>
    <t>Thomas CIESIELSKI</t>
  </si>
  <si>
    <t>TYZRB0014133187YQ</t>
  </si>
  <si>
    <t xml:space="preserve">136 LA MASSETIERE </t>
  </si>
  <si>
    <t>2026-08-01 18:16:46</t>
  </si>
  <si>
    <t>5233242-28697</t>
  </si>
  <si>
    <t>2 Gomme *1
4 mine*1</t>
  </si>
  <si>
    <t>Gomme-capuchon Shield - 2 gommes
Lot de 4 mines rechargeables</t>
  </si>
  <si>
    <t>Simon Christin</t>
  </si>
  <si>
    <t>2019317486612453</t>
  </si>
  <si>
    <t xml:space="preserve">320 Rue Highland </t>
  </si>
  <si>
    <t>2026-08-01 22:38:11</t>
  </si>
  <si>
    <t>5233242-28698</t>
  </si>
  <si>
    <t>6 mines*1
Crayon*1</t>
  </si>
  <si>
    <t>Mines colorées - Pack de 6 mines | 36% d'économie
Le Crayon Intemporel - Carmin</t>
  </si>
  <si>
    <t>2026-08-02 22:26:13</t>
  </si>
  <si>
    <t>5233242-28699</t>
  </si>
  <si>
    <t>Carnet *1</t>
  </si>
  <si>
    <t>Florian Gallaz</t>
  </si>
  <si>
    <t xml:space="preserve">Chemin Du Carroz 7 </t>
  </si>
  <si>
    <t>2026-08-02 22:36:14</t>
  </si>
  <si>
    <t>5233242-28700</t>
  </si>
  <si>
    <t>4 mines*1
Crayon*1
Carnet *1</t>
  </si>
  <si>
    <t>4 mines rechargeables
🎁 Le Crayon Intemporel (100% off) - Obsidienne
Le Carnet Parfait</t>
  </si>
  <si>
    <t>Belhadri smain Abdelkrim</t>
  </si>
  <si>
    <t xml:space="preserve">29 Rue Emilien Ronzas </t>
  </si>
  <si>
    <t>2026-08-02 22:42:14</t>
  </si>
  <si>
    <t>5233242-28701</t>
  </si>
  <si>
    <t>Crayon*1
Carnet *1</t>
  </si>
  <si>
    <t>🎁 Le Crayon Intemporel (100% off) - Carmin
Le Carnet Parfait</t>
  </si>
  <si>
    <t>Jean-Claude VIRY</t>
  </si>
  <si>
    <t>1100 Avenue de Saint Maur Bâtiment B  N25</t>
  </si>
  <si>
    <t>2026-08-02 23:36:05</t>
  </si>
  <si>
    <t>5233242-28702</t>
  </si>
  <si>
    <t>2026-08-02 23:43:11</t>
  </si>
  <si>
    <t>5233242-28703</t>
  </si>
  <si>
    <t>2 Gomme *1
4 mines*1
Crayon*1
Carnet *1</t>
  </si>
  <si>
    <t>Gomme-capuchon Shield - 2 gommes
4 mines rechargeables
🎁 Le Crayon Intemporel (100% off) - Obsidienne
Le Carnet Parfait</t>
  </si>
  <si>
    <t>7 RUE DE LA VALLÉE P.V.M VOLETS ROULANTS</t>
  </si>
  <si>
    <t>2026-08-02 23:53:51</t>
  </si>
  <si>
    <t>5233242-28704</t>
  </si>
  <si>
    <t>2026-08-03 00:33:10</t>
  </si>
  <si>
    <t>5233242-28705</t>
  </si>
  <si>
    <t>Benoit Rugari</t>
  </si>
  <si>
    <t xml:space="preserve">2 Rue du Baous </t>
  </si>
  <si>
    <t>2026-08-03 00:38:20</t>
  </si>
  <si>
    <t>5233242-28706</t>
  </si>
  <si>
    <t>Gomme-capuchon Shield - 2 gommes</t>
  </si>
  <si>
    <t>2026-08-03 00:40:58</t>
  </si>
  <si>
    <t>缺货</t>
  </si>
  <si>
    <t>45242109296904*1</t>
  </si>
  <si>
    <t>Le Crayon Intemporel - Saturne</t>
  </si>
  <si>
    <t>TYZRB0014154241YQ</t>
  </si>
  <si>
    <t>2026-08-02 08:42:37</t>
  </si>
  <si>
    <t>FACT - #10442
Orders 28003 to 28706
05/08/26</t>
  </si>
  <si>
    <r>
      <t>Consignee:</t>
    </r>
    <r>
      <rPr>
        <sz val="10"/>
        <color rgb="FF000000"/>
        <rFont val="Arial"/>
        <charset val="134"/>
      </rPr>
      <t xml:space="preserve"> JINRIYANGTIAN DIANZISHANGWU SHENZHEN YOUXIANGONGSI 
</t>
    </r>
    <r>
      <rPr>
        <b/>
        <sz val="10"/>
        <color rgb="FF000000"/>
        <rFont val="Arial"/>
        <charset val="134"/>
      </rPr>
      <t>Company number:</t>
    </r>
    <r>
      <rPr>
        <sz val="10"/>
        <color rgb="FF000000"/>
        <rFont val="Arial"/>
        <charset val="134"/>
      </rPr>
      <t xml:space="preserve"> 91440300MA5HW4MP14
</t>
    </r>
    <r>
      <rPr>
        <b/>
        <sz val="10"/>
        <color rgb="FF000000"/>
        <rFont val="Arial"/>
        <charset val="134"/>
      </rPr>
      <t>Adress:</t>
    </r>
    <r>
      <rPr>
        <sz val="10"/>
        <color rgb="FF000000"/>
        <rFont val="Arial"/>
        <charset val="134"/>
      </rPr>
      <t xml:space="preserve">   Parc Technologique Zhengchangda,
23 rue Jian’an, Quartier Fuhai, Bao’an, Shenzhen, Guangdong, Chine</t>
    </r>
  </si>
  <si>
    <t xml:space="preserve">Frais manut. (€) </t>
  </si>
  <si>
    <t>Shipping (€)</t>
  </si>
  <si>
    <t>2.5</t>
  </si>
  <si>
    <t xml:space="preserve">Lot de 4 mines </t>
  </si>
  <si>
    <t>29</t>
  </si>
  <si>
    <t>Coffret Cadeau （upsell）</t>
  </si>
  <si>
    <t>30</t>
  </si>
  <si>
    <t>Frais d’envoi de 121 Lettres Vertes</t>
  </si>
  <si>
    <t>31</t>
  </si>
  <si>
    <t>juillet 2026
Transport aérien : 7,26 €/kg
Poids total des 3 cartons : 64,5 kg
Coût total : 468,27 €</t>
  </si>
  <si>
    <t>32</t>
  </si>
  <si>
    <t>juillet 2026
Transport ferroviaire : 2,64 €/kg
Poids total des 15 cartons : 345 kg
Coût total : 910,80 €</t>
  </si>
  <si>
    <t>TOTAL QUANTITÉ</t>
  </si>
  <si>
    <t>TOTAL</t>
  </si>
  <si>
    <t>4 mines*1
 6 mines *1
Crayon*1</t>
  </si>
  <si>
    <t>2 gommes*1
Crayon*1
Crayon*1
 6 mines *1
Crayon*1</t>
  </si>
  <si>
    <t>Crayon*1
4 mines*1
 6 mines *1
2 gommes*1</t>
  </si>
  <si>
    <t>2 gommes*1
Crayon*1
Crayon*1
 6 mines *1
Crayon*1
6 mines*1</t>
  </si>
  <si>
    <t>Crayon*1
Crayon*1
 6 mines *1
Crayon*1</t>
  </si>
  <si>
    <t xml:space="preserve"> 6 mines *1
Crayon*1</t>
  </si>
  <si>
    <t>2 gommes*1
 6 mines *1
Crayon*1</t>
  </si>
  <si>
    <t>4 mines*1
2 gommes*1
Crayon*1
 6 mines *1
Crayon*1</t>
  </si>
  <si>
    <t xml:space="preserve"> 6 mines *1
4 mines*1</t>
  </si>
  <si>
    <t>Crayon*1
Crayon*1
2 gommes*1
4 mines*1
 6 mines *1
Crayon*1</t>
  </si>
  <si>
    <t>4 mines*1
Crayon*1
 6 mines *1</t>
  </si>
  <si>
    <t>12 mines *1
4 mines*1
Crayon*1
2 gommes*1
Crayon*1
 6 mines *1
Crayon*1</t>
  </si>
  <si>
    <t>Crayon*1
4 mines*1
2 gommes*1
 6 mines *1</t>
  </si>
  <si>
    <t xml:space="preserve"> 6 mines *1
Crayon*2
Crayon*1</t>
  </si>
  <si>
    <t>2 gommes*1
 6 mines *1
Crayon*2
Crayon*1</t>
  </si>
  <si>
    <t xml:space="preserve"> 6 mines *1
12 mines *1</t>
  </si>
  <si>
    <t>Crayon*1
 6 mines *1
4 mines*1</t>
  </si>
  <si>
    <t>4 mines*2
 6 mines *1
Crayon*1</t>
  </si>
  <si>
    <t>2 gommes*1
4 mines*1
Crayon*1
Crayon*1
 6 mines *1
Crayon*1</t>
  </si>
  <si>
    <t>12 mines *1</t>
  </si>
  <si>
    <t>Crayon*1
 6 mines *1</t>
  </si>
  <si>
    <t>4 mines*1
2 gommes*1
 6 mines *1
Crayon*2
Crayon*1</t>
  </si>
  <si>
    <t>Crayon*1
Crayon*1
52838739738888*1
2 gommes*1
 6 mines *1
Crayon*1
6 mines*1</t>
  </si>
  <si>
    <t>Crayon*1
 6 mines *1
2 gommes*1</t>
  </si>
  <si>
    <t xml:space="preserve"> 6 mines *1
Crayon*2</t>
  </si>
  <si>
    <t>2 gommes*1
4 mines*1
 6 mines *1
Crayon*1</t>
  </si>
  <si>
    <t>4 mines*1
Crayon*2
Crayon*1
12 mines *1
 6 mines *1
2 gommes*2</t>
  </si>
  <si>
    <t>12 mines *1
Carnet*1
 6 mines *1
2 gommes*1</t>
  </si>
  <si>
    <t>Crayon*1
Crayon*1
2 gommes*1
 6 mines *1
Crayon*1</t>
  </si>
  <si>
    <t>Crayon*1
Crayon*1
Crayon*1
 6 mines *1
2 gommes*2</t>
  </si>
  <si>
    <t>4 mines*1
6 mines*1
2 gommes*1
 6 mines *1
Crayon*2
Crayon*1
52838739738888*2
52838739738888*1</t>
  </si>
  <si>
    <t>2 gommes*1
 6 mines *1
Carnet*1</t>
  </si>
  <si>
    <t xml:space="preserve"> 6 mines *1
Carnet*1</t>
  </si>
  <si>
    <t>2 gommes*2
4 mines*1
Crayon*1
 6 mines *1</t>
  </si>
  <si>
    <t>Crayon*2
Crayon*1
 6 mines *1</t>
  </si>
  <si>
    <t>Carnet*1</t>
  </si>
  <si>
    <t>Crayon*1
Crayon*1
Crayon*1
 6 mines *1</t>
  </si>
  <si>
    <t>12 mines *1
Crayon*1
Crayon*1
 6 mines *1
Crayon*1</t>
  </si>
  <si>
    <t>Crayon*1
4 mines*1
Crayon*2
 6 mines *1
2 gommes*1</t>
  </si>
  <si>
    <t>2 gommes*1
4 mines*1
Crayon*1
Crayon*1
 6 mines *1
Crayon*1
6 mines*1</t>
  </si>
  <si>
    <t>4 mines*1
2 gommes*1
 6 mines *1
Crayon*1</t>
  </si>
  <si>
    <t>4 mines*1
Crayon*1
Crayon*1
Crayon*1
 6 mines *1
2 gommes*1</t>
  </si>
  <si>
    <t>2 gommes*1
 6 mines *1
4 mines*1</t>
  </si>
  <si>
    <t>Crayon*1
52838739738888*1
Crayon*1
52838739738888*1
12 mines*1
Crayon*1
52838739738888*1</t>
  </si>
  <si>
    <t>12 mines*1
Crayon*1</t>
  </si>
  <si>
    <t>12 mines*1
Crayon*1
Crayon*1
Crayon*1
2 gommes*1</t>
  </si>
  <si>
    <t>12 mines*1
Crayon*2
Crayon*1</t>
  </si>
  <si>
    <t>Crayon*1
Crayon*1
12 mines*1
Crayon*1
52838739738888*1</t>
  </si>
  <si>
    <t>4 mines*1
Crayon*1
Crayon*1
12 mines*1
Crayon*1</t>
  </si>
  <si>
    <t>Crayon*1
Crayon*1
12 mines*1
Crayon*1</t>
  </si>
  <si>
    <t>Crayon*1
Crayon*1
Crayon*1
2 gommes*1
12 mines*1</t>
  </si>
  <si>
    <t>4 mines*1
12 mines*1
Crayon*1</t>
  </si>
  <si>
    <t>2 gommes*1
4 mines*1
12 mines*1
Crayon*1</t>
  </si>
  <si>
    <t>Carnet*1
12 mines*1
2 gommes*2</t>
  </si>
  <si>
    <t>2 gommes*2
Crayon*1
Crayon*1
Crayon*1
12 mines*1</t>
  </si>
  <si>
    <t>Carnet*3</t>
  </si>
  <si>
    <t>Crayon*1
12 mines*1</t>
  </si>
  <si>
    <t>12 mines*1
4 mines*1</t>
  </si>
  <si>
    <t>4 mines*1
2 gommes*2
12 mines*1
12 mines *1</t>
  </si>
  <si>
    <t>4 mines*1
12 mines*1
2 gommes*2</t>
  </si>
  <si>
    <t>12 mines*1
4 mines*1
Crayon*1</t>
  </si>
  <si>
    <t>4 mines*1
2 gommes*1
12 mines*1
Crayon*1</t>
  </si>
  <si>
    <t>12 mines*1
2 gommes*3</t>
  </si>
  <si>
    <t>Crayon*1
52838739738888*1
4 mines*1
Carnet*1
12 mines*1
2 gommes*1</t>
  </si>
  <si>
    <t>Mines colorées*2
4 mines*1
12 mines*1
Crayon*2
Crayon*1</t>
  </si>
  <si>
    <t>Crayon*1
52838739738888*1
2 gommes*1
12 mines*1</t>
  </si>
  <si>
    <t>12 mines*1
Crayon*1
2 gommes*1</t>
  </si>
  <si>
    <t>4 mines*1
2 gommes*1
Crayon*1
Crayon*1
12 mines*1
Crayon*1</t>
  </si>
  <si>
    <t>2 gommes*1
Crayon*1
Crayon*1
12 mines*1
Crayon*1</t>
  </si>
  <si>
    <t>Crayon*1
4 mines*1
12 mines*1</t>
  </si>
  <si>
    <t>Crayon*1
Crayon*1
2 gommes*1
12 mines*1
Crayon*1</t>
  </si>
  <si>
    <t>4 mines*1
12 mines*1
Crayon*2
Crayon*1</t>
  </si>
  <si>
    <t>Crayon*2
Crayon*1
4 mines*1
12 mines*1</t>
  </si>
  <si>
    <t>2 gommes*1
4 mines*1
12 mines*1
49624579539208*1</t>
  </si>
  <si>
    <t>12 mines*1
2 gommes*1</t>
  </si>
  <si>
    <t>Crayon*1
4 mines*1
2 gommes*1
12 mines*1</t>
  </si>
  <si>
    <t>Crayon*1
52838739738888*1
4 mines*1
12 mines*1</t>
  </si>
  <si>
    <t>2 gommes*1
12 mines*1
Crayon*1</t>
  </si>
  <si>
    <t>2 gommes*2
4 mines*1
12 mines*1
6 mines*1</t>
  </si>
  <si>
    <t>4 mines*1
Carnet*1
12 mines*1
2 gommes*1</t>
  </si>
  <si>
    <t>12 mines*1
2 gommes*2</t>
  </si>
  <si>
    <t>2 gommes*2
12 mines*1
Crayon*1</t>
  </si>
  <si>
    <t>4 mines*1
2 gommes*1
Crayon*1</t>
  </si>
  <si>
    <t>2026-08-02 08:41:54</t>
  </si>
  <si>
    <t>2026-08-02 07:48:32</t>
  </si>
  <si>
    <t>2026-08-02 08:46:40</t>
  </si>
  <si>
    <t xml:space="preserve"> 6 mines *1*1
4 mines*1</t>
  </si>
  <si>
    <t>2026-08-02 08:48:18</t>
  </si>
  <si>
    <t>2026-08-02 08:45:58</t>
  </si>
  <si>
    <t>2026-08-02 08:45:09</t>
  </si>
  <si>
    <t>2026-08-02 08:44:10</t>
  </si>
  <si>
    <t xml:space="preserve">
Les 181 colis ont été expédiés depuis l'entrepôt en France.</t>
  </si>
  <si>
    <t>Facture / relevé d’indemnités</t>
  </si>
  <si>
    <t>Date de facture</t>
  </si>
  <si>
    <t>N° Facture</t>
  </si>
  <si>
    <t>Date d’opération</t>
  </si>
  <si>
    <t>Référence</t>
  </si>
  <si>
    <t>Type</t>
  </si>
  <si>
    <t>Référence Client</t>
  </si>
  <si>
    <t>Montant HT 0% (€)</t>
  </si>
  <si>
    <t>Montant HT 20% (€)</t>
  </si>
  <si>
    <t>Montant TTC (€)</t>
  </si>
  <si>
    <t>Assuré</t>
  </si>
  <si>
    <t>Montant Assurance HT (€)</t>
  </si>
  <si>
    <t>Options</t>
  </si>
  <si>
    <t>Transporteur</t>
  </si>
  <si>
    <t>Offre de service</t>
  </si>
  <si>
    <t>Nombre de colis</t>
  </si>
  <si>
    <t>Catégorie</t>
  </si>
  <si>
    <t>Contenu</t>
  </si>
  <si>
    <t>Expéditeur Nom</t>
  </si>
  <si>
    <t>Expéditeur Prénom</t>
  </si>
  <si>
    <t>Expéditeur Entreprise</t>
  </si>
  <si>
    <t>Expéditeur Code Postale</t>
  </si>
  <si>
    <t>Expéditeur Ville</t>
  </si>
  <si>
    <t>Expéditeur Pays</t>
  </si>
  <si>
    <t>Destinataire Nom</t>
  </si>
  <si>
    <t>Destinataire Prénom</t>
  </si>
  <si>
    <t>Destinataire Entreprise</t>
  </si>
  <si>
    <t>Destinataire Code Postale</t>
  </si>
  <si>
    <t>Destinataire Ville</t>
  </si>
  <si>
    <t>Destinataire Pays</t>
  </si>
  <si>
    <t>Facture</t>
  </si>
  <si>
    <t>LPE260000097204</t>
  </si>
  <si>
    <t>2607271444LPFRMIK3FR</t>
  </si>
  <si>
    <t>Prestation d'expédition</t>
  </si>
  <si>
    <t>La Poste Lettre - Lettre Verte Suivie vers LISIEUX (FR-14100)</t>
  </si>
  <si>
    <t>Non</t>
  </si>
  <si>
    <t>La Poste Lettre</t>
  </si>
  <si>
    <t>Lettre Verte Suivie</t>
  </si>
  <si>
    <t>ARTS_AND_CRAFTS_ETC</t>
  </si>
  <si>
    <t>Le Crayon IntemporelMines colorées</t>
  </si>
  <si>
    <t>SAS</t>
  </si>
  <si>
    <t>Write</t>
  </si>
  <si>
    <t>Write SAS</t>
  </si>
  <si>
    <t>94190</t>
  </si>
  <si>
    <t>VILLENEUVE SAINT GEORGES</t>
  </si>
  <si>
    <t>FR</t>
  </si>
  <si>
    <t>Bevensee</t>
  </si>
  <si>
    <t>Mauro Devoto</t>
  </si>
  <si>
    <t>14100</t>
  </si>
  <si>
    <t>LISIEUX</t>
  </si>
  <si>
    <t>2607271450LPFRMIL5FR</t>
  </si>
  <si>
    <t>La Poste Lettre - Lettre Verte Suivie vers ERAGNY (FR-95610)</t>
  </si>
  <si>
    <t>Crayon IntemporelMines colorées</t>
  </si>
  <si>
    <t>Licoine</t>
  </si>
  <si>
    <t>Lisa</t>
  </si>
  <si>
    <t>95610</t>
  </si>
  <si>
    <t>ERAGNY</t>
  </si>
  <si>
    <t>2607271454LPFRMILJFR</t>
  </si>
  <si>
    <t>La Poste Lettre - Lettre Verte Suivie vers BOUGIVAL (FR-78380)</t>
  </si>
  <si>
    <t>TRITZ</t>
  </si>
  <si>
    <t>Nicolas</t>
  </si>
  <si>
    <t>78380</t>
  </si>
  <si>
    <t>BOUGIVAL</t>
  </si>
  <si>
    <t>2607271456LPFRMILSFR</t>
  </si>
  <si>
    <t>La Poste Lettre - Lettre Verte Suivie vers NIMES (FR-30900)</t>
  </si>
  <si>
    <t>gommesCrayonmines</t>
  </si>
  <si>
    <t>Rozencwajg</t>
  </si>
  <si>
    <t>Jean-Claude</t>
  </si>
  <si>
    <t>30900</t>
  </si>
  <si>
    <t>NIMES</t>
  </si>
  <si>
    <t>2607271458LPFRMIM4FR</t>
  </si>
  <si>
    <t>La Poste Lettre - Lettre Verte Suivie vers BARDOS (FR-64520)</t>
  </si>
  <si>
    <t>CrayonMines</t>
  </si>
  <si>
    <t>Cazenave</t>
  </si>
  <si>
    <t>Hugo</t>
  </si>
  <si>
    <t>64520</t>
  </si>
  <si>
    <t>BARDOS</t>
  </si>
  <si>
    <t>2607271501LPFRMIMCFR</t>
  </si>
  <si>
    <t>La Poste Lettre - Lettre Verte Suivie vers ENVAL (FR-63530)</t>
  </si>
  <si>
    <t>Lipowiez</t>
  </si>
  <si>
    <t>Martin</t>
  </si>
  <si>
    <t>63530</t>
  </si>
  <si>
    <t>ENVAL</t>
  </si>
  <si>
    <t>2607271509LPFRMIN2FR</t>
  </si>
  <si>
    <t>La Poste Lettre - Lettre Verte Suivie vers CHAMPIGNY SUR MARNE (FR-94500)</t>
  </si>
  <si>
    <t>Slimovici</t>
  </si>
  <si>
    <t>Raphaël</t>
  </si>
  <si>
    <t>94500</t>
  </si>
  <si>
    <t>CHAMPIGNY SUR MARNE</t>
  </si>
  <si>
    <t>2607271512LPFRMINAFR</t>
  </si>
  <si>
    <t>La Poste Lettre - Lettre Verte Suivie vers NEUILLY SUR SEINE (FR-92200)</t>
  </si>
  <si>
    <t>CURTET</t>
  </si>
  <si>
    <t>Marie</t>
  </si>
  <si>
    <t>92200</t>
  </si>
  <si>
    <t>NEUILLY SUR SEINE</t>
  </si>
  <si>
    <t>2607271514LPFRMINLFR</t>
  </si>
  <si>
    <t>La Poste Lettre - Lettre Verte Suivie vers COMBRONDE (FR-63460)</t>
  </si>
  <si>
    <t>Mardel</t>
  </si>
  <si>
    <t>Loris</t>
  </si>
  <si>
    <t>63460</t>
  </si>
  <si>
    <t>COMBRONDE</t>
  </si>
  <si>
    <t>2607271518LPFRMIOCFR</t>
  </si>
  <si>
    <t>La Poste Lettre - Lettre Verte Suivie vers PARIS (FR-75014)</t>
  </si>
  <si>
    <t>CrayonMinesgommes</t>
  </si>
  <si>
    <t>TALENTI</t>
  </si>
  <si>
    <t>Aurelia</t>
  </si>
  <si>
    <t>75014</t>
  </si>
  <si>
    <t>PARIS</t>
  </si>
  <si>
    <t>2607271520LPFRMIP0FR</t>
  </si>
  <si>
    <t>La Poste Lettre - Lettre Verte Suivie vers WALINCOURT SELVIGNY (FR-59127)</t>
  </si>
  <si>
    <t>bonno</t>
  </si>
  <si>
    <t>Pascal</t>
  </si>
  <si>
    <t>59127</t>
  </si>
  <si>
    <t>WALINCOURT SELVIGNY</t>
  </si>
  <si>
    <t>2607271523LPFRMIPHFR</t>
  </si>
  <si>
    <t>La Poste Lettre - Lettre Verte Suivie vers TAURIAC (FR-33710)</t>
  </si>
  <si>
    <t>Roubertie</t>
  </si>
  <si>
    <t>Allan</t>
  </si>
  <si>
    <t>33710</t>
  </si>
  <si>
    <t>TAURIAC</t>
  </si>
  <si>
    <t>2607271524LPFRMIPPFR</t>
  </si>
  <si>
    <t>La Poste Lettre - Lettre Verte Suivie vers AUTHEUIL AUTHOUILLET (FR-27490)</t>
  </si>
  <si>
    <t>Noël Poupinha</t>
  </si>
  <si>
    <t>Jennifer</t>
  </si>
  <si>
    <t>27490</t>
  </si>
  <si>
    <t>AUTHEUIL AUTHOUILLET</t>
  </si>
  <si>
    <t>2607271526LPFRMIPWFR</t>
  </si>
  <si>
    <t>La Poste Lettre - Lettre Verte Suivie vers AUBERS (FR-59249)</t>
  </si>
  <si>
    <t>pennel</t>
  </si>
  <si>
    <t>alice</t>
  </si>
  <si>
    <t>59249</t>
  </si>
  <si>
    <t>AUBERS</t>
  </si>
  <si>
    <t>2607271528LPFRMIQ3FR</t>
  </si>
  <si>
    <t>La Poste Lettre - Lettre Verte Suivie vers PARIS (FR-75017)</t>
  </si>
  <si>
    <t>Guerrier</t>
  </si>
  <si>
    <t>Clara</t>
  </si>
  <si>
    <t>75017</t>
  </si>
  <si>
    <t>2607271531LPFRMIQNFR</t>
  </si>
  <si>
    <t>La Poste Lettre - Lettre Verte Suivie vers COLOMBES (FR-92700)</t>
  </si>
  <si>
    <t>BERNIT</t>
  </si>
  <si>
    <t>Alexandre</t>
  </si>
  <si>
    <t>92700</t>
  </si>
  <si>
    <t>COLOMBES</t>
  </si>
  <si>
    <t>2607271534LPFRMIQZFR</t>
  </si>
  <si>
    <t>La Poste Lettre - Lettre Verte Suivie vers GRADIGNAN (FR-33170)</t>
  </si>
  <si>
    <t>felix</t>
  </si>
  <si>
    <t>dominique</t>
  </si>
  <si>
    <t>33170</t>
  </si>
  <si>
    <t>GRADIGNAN</t>
  </si>
  <si>
    <t>2607271536LPFRMIR7FR</t>
  </si>
  <si>
    <t>La Poste Lettre - Lettre Verte Suivie vers REIMS (FR-51100)</t>
  </si>
  <si>
    <t>HOYEZ</t>
  </si>
  <si>
    <t>Alexis</t>
  </si>
  <si>
    <t>51100</t>
  </si>
  <si>
    <t>REIMS</t>
  </si>
  <si>
    <t>2607271537LPFRMISEFR</t>
  </si>
  <si>
    <t>La Poste Lettre - Lettre Verte Suivie vers LA FERTE BERNARD (FR-72400)</t>
  </si>
  <si>
    <t>Hubert</t>
  </si>
  <si>
    <t>Lali</t>
  </si>
  <si>
    <t>72400</t>
  </si>
  <si>
    <t>LA FERTE BERNARD</t>
  </si>
  <si>
    <t>2607271539LPFRMISQFR</t>
  </si>
  <si>
    <t>La Poste Lettre - Lettre Verte Suivie vers SAINT PEE SUR NIVELLE (FR-64310)</t>
  </si>
  <si>
    <t>Fournier</t>
  </si>
  <si>
    <t>Peio</t>
  </si>
  <si>
    <t>64310</t>
  </si>
  <si>
    <t>SAINT PEE SUR NIVELLE</t>
  </si>
  <si>
    <t>2607271541LPFRMIT5FR</t>
  </si>
  <si>
    <t>La Poste Lettre - Lettre Verte Suivie vers LACAVE (FR-46200)</t>
  </si>
  <si>
    <t>Leonard</t>
  </si>
  <si>
    <t>Romeo</t>
  </si>
  <si>
    <t>46200</t>
  </si>
  <si>
    <t>LACAVE</t>
  </si>
  <si>
    <t>2607271542LPFRMITIFR</t>
  </si>
  <si>
    <t>La Poste Lettre - Lettre Verte Suivie vers ONTEX (FR-73310)</t>
  </si>
  <si>
    <t>Carine</t>
  </si>
  <si>
    <t>Cherin</t>
  </si>
  <si>
    <t>73310</t>
  </si>
  <si>
    <t>ONTEX</t>
  </si>
  <si>
    <t>2607271544LPFRMITSFR</t>
  </si>
  <si>
    <t>La Poste Lettre - Lettre Verte Suivie vers RENNES (FR-35700)</t>
  </si>
  <si>
    <t>Bonnefond</t>
  </si>
  <si>
    <t>Matthew</t>
  </si>
  <si>
    <t>35700</t>
  </si>
  <si>
    <t>RENNES</t>
  </si>
  <si>
    <t>2607271545LPFRMIU1FR</t>
  </si>
  <si>
    <t>La Poste Lettre - Lettre Verte Suivie vers LOUAILLES (FR-72300)</t>
  </si>
  <si>
    <t>Hamel</t>
  </si>
  <si>
    <t>Kessie</t>
  </si>
  <si>
    <t>72300</t>
  </si>
  <si>
    <t>LOUAILLES</t>
  </si>
  <si>
    <t>2607271547LPFRMIUDFR</t>
  </si>
  <si>
    <t>La Poste Lettre - Lettre Verte Suivie vers FONTENAY SOUS BOIS (FR-94120)</t>
  </si>
  <si>
    <t>Dornel</t>
  </si>
  <si>
    <t>Ange</t>
  </si>
  <si>
    <t>94120</t>
  </si>
  <si>
    <t>FONTENAY SOUS BOIS</t>
  </si>
  <si>
    <t>2607271550LPFRMIUYFR</t>
  </si>
  <si>
    <t>La Poste Lettre - Lettre Verte Suivie vers SAINT SYMPHORIEN D OZON (FR-69360)</t>
  </si>
  <si>
    <t>BARD</t>
  </si>
  <si>
    <t>Alain</t>
  </si>
  <si>
    <t>69360</t>
  </si>
  <si>
    <t>SAINT SYMPHORIEN D OZON</t>
  </si>
  <si>
    <t>2607271552LPFRMIVBFR</t>
  </si>
  <si>
    <t>La Poste Lettre - Lettre Verte Suivie vers SAINT ANDRE LES VERGERS (FR-10120)</t>
  </si>
  <si>
    <t>Terrillon</t>
  </si>
  <si>
    <t>10120</t>
  </si>
  <si>
    <t>SAINT ANDRE LES VERGERS</t>
  </si>
  <si>
    <t>2607271553LPFRMIVCFR</t>
  </si>
  <si>
    <t>La Poste Lettre - Lettre Verte Suivie vers SAINT MICHEL SUR ORGE (FR-91240)</t>
  </si>
  <si>
    <t>Crayon</t>
  </si>
  <si>
    <t>Loriot</t>
  </si>
  <si>
    <t>Marjorie</t>
  </si>
  <si>
    <t>91240</t>
  </si>
  <si>
    <t>SAINT MICHEL SUR ORGE</t>
  </si>
  <si>
    <t>2607271556LPFRMIVPFR</t>
  </si>
  <si>
    <t>La Poste Lettre - Lettre Verte Suivie vers WASQUEHAL (FR-59290)</t>
  </si>
  <si>
    <t>De Smet</t>
  </si>
  <si>
    <t>Valentin</t>
  </si>
  <si>
    <t>59290</t>
  </si>
  <si>
    <t>WASQUEHAL</t>
  </si>
  <si>
    <t>2607271558LPFRMIVTFR</t>
  </si>
  <si>
    <t>La Poste Lettre - Lettre Verte Suivie vers CHAMPIGNEULLES (FR-54250)</t>
  </si>
  <si>
    <t>Mines</t>
  </si>
  <si>
    <t>Franco</t>
  </si>
  <si>
    <t>Cassandre</t>
  </si>
  <si>
    <t>54250</t>
  </si>
  <si>
    <t>CHAMPIGNEULLES</t>
  </si>
  <si>
    <t>2607271600LPFRMIW4FR</t>
  </si>
  <si>
    <t>La Poste Lettre - Lettre Verte Suivie vers CANNES (FR-06400)</t>
  </si>
  <si>
    <t>Crayonminesgommes</t>
  </si>
  <si>
    <t>Azimov</t>
  </si>
  <si>
    <t>Sardar</t>
  </si>
  <si>
    <t>06400</t>
  </si>
  <si>
    <t>CANNES</t>
  </si>
  <si>
    <t>2607271602LPFRMIWFFR</t>
  </si>
  <si>
    <t>La Poste Lettre - Lettre Verte Suivie vers LE POUZIN (FR-07250)</t>
  </si>
  <si>
    <t>Crayonmines</t>
  </si>
  <si>
    <t>Aoustet</t>
  </si>
  <si>
    <t>Renaud</t>
  </si>
  <si>
    <t>07250</t>
  </si>
  <si>
    <t>LE POUZIN</t>
  </si>
  <si>
    <t>2607271604LPFRMIWLFR</t>
  </si>
  <si>
    <t>La Poste Lettre - Lettre Verte Suivie vers TOULOUSE (FR-31200)</t>
  </si>
  <si>
    <t>schoonbaert</t>
  </si>
  <si>
    <t>Tristan</t>
  </si>
  <si>
    <t>31200</t>
  </si>
  <si>
    <t>TOULOUSE</t>
  </si>
  <si>
    <t>2607271605LPFRMIWWFR</t>
  </si>
  <si>
    <t>La Poste Lettre - Lettre Verte Suivie vers CESTAS (FR-33610)</t>
  </si>
  <si>
    <t>Quétron</t>
  </si>
  <si>
    <t>Marlène</t>
  </si>
  <si>
    <t>33610</t>
  </si>
  <si>
    <t>CESTAS</t>
  </si>
  <si>
    <t>2607271607LPFRMIX2FR</t>
  </si>
  <si>
    <t>La Poste Lettre - Lettre Verte Suivie vers PARIS (FR-75015)</t>
  </si>
  <si>
    <t>DUCERE</t>
  </si>
  <si>
    <t>Emmanuelle</t>
  </si>
  <si>
    <t>75015</t>
  </si>
  <si>
    <t>2607271609LPFRMIXAFR</t>
  </si>
  <si>
    <t>La Poste Lettre - Lettre Verte Suivie vers BOSC LE HARD (FR-76850)</t>
  </si>
  <si>
    <t>Filet</t>
  </si>
  <si>
    <t>Adrien</t>
  </si>
  <si>
    <t>76850</t>
  </si>
  <si>
    <t>BOSC LE HARD</t>
  </si>
  <si>
    <t>2607271611LPFRMIXKFR</t>
  </si>
  <si>
    <t>La Poste Lettre - Lettre Verte Suivie vers TOURCOING (FR-59200)</t>
  </si>
  <si>
    <t>Dehon</t>
  </si>
  <si>
    <t>Stéphane</t>
  </si>
  <si>
    <t>59200</t>
  </si>
  <si>
    <t>TOURCOING</t>
  </si>
  <si>
    <t>2607271612LPFRMIXSFR</t>
  </si>
  <si>
    <t>La Poste Lettre - Lettre Verte Suivie vers DIJON (FR-21000)</t>
  </si>
  <si>
    <t>VOIZEUX</t>
  </si>
  <si>
    <t>Pierre</t>
  </si>
  <si>
    <t>21000</t>
  </si>
  <si>
    <t>DIJON</t>
  </si>
  <si>
    <t>2607271614LPFRMIY8FR</t>
  </si>
  <si>
    <t>La Poste Lettre - Lettre Verte Suivie vers VILLARD SUR DORON (FR-73270)</t>
  </si>
  <si>
    <t>BALENO</t>
  </si>
  <si>
    <t>Myriam</t>
  </si>
  <si>
    <t>73270</t>
  </si>
  <si>
    <t>VILLARD SUR DORON</t>
  </si>
  <si>
    <t>2607271616LPFRMIYCFR</t>
  </si>
  <si>
    <t>La Poste Lettre - Lettre Verte Suivie vers MAGNY VERNOIS (FR-70200)</t>
  </si>
  <si>
    <t>Bouton</t>
  </si>
  <si>
    <t>70200</t>
  </si>
  <si>
    <t>MAGNY VERNOIS</t>
  </si>
  <si>
    <t>2607271618LPFRMIYIFR</t>
  </si>
  <si>
    <t>La Poste Lettre - Lettre Verte Suivie vers HUNINGUE (FR-68330)</t>
  </si>
  <si>
    <t>Illy</t>
  </si>
  <si>
    <t>Anne-Lise</t>
  </si>
  <si>
    <t>68330</t>
  </si>
  <si>
    <t>HUNINGUE</t>
  </si>
  <si>
    <t>2607271620LPFRMIYNFR</t>
  </si>
  <si>
    <t>La Poste Lettre - Lettre Verte Suivie vers SAVIGNEUX (FR-42600)</t>
  </si>
  <si>
    <t>durand</t>
  </si>
  <si>
    <t>juliette</t>
  </si>
  <si>
    <t>42600</t>
  </si>
  <si>
    <t>SAVIGNEUX</t>
  </si>
  <si>
    <t>2607271622LPFRMIYVFR</t>
  </si>
  <si>
    <t>La Poste Lettre - Lettre Verte Suivie vers FLAVY LE MARTEL (FR-02520)</t>
  </si>
  <si>
    <t>Blaireau</t>
  </si>
  <si>
    <t>Nathalie</t>
  </si>
  <si>
    <t>02520</t>
  </si>
  <si>
    <t>FLAVY LE MARTEL</t>
  </si>
  <si>
    <t>2607271623LPFRMJ12FR</t>
  </si>
  <si>
    <t>La Poste Lettre - Lettre Verte Suivie vers PRECY SUR OISE (FR-60460)</t>
  </si>
  <si>
    <t>SALIN COLLART</t>
  </si>
  <si>
    <t>Sandrine</t>
  </si>
  <si>
    <t>60460</t>
  </si>
  <si>
    <t>PRECY SUR OISE</t>
  </si>
  <si>
    <t>2607271625LPFRMJ19FR</t>
  </si>
  <si>
    <t>La Poste Lettre - Lettre Verte Suivie vers SCHILTIGHEIM (FR-67300)</t>
  </si>
  <si>
    <t>RUEFF</t>
  </si>
  <si>
    <t>Christophe</t>
  </si>
  <si>
    <t>67300</t>
  </si>
  <si>
    <t>SCHILTIGHEIM</t>
  </si>
  <si>
    <t>2607281120LPFRMKNKFR</t>
  </si>
  <si>
    <t>La Poste Lettre - Lettre Verte Suivie vers SAINT ANDRE DE CUBZAC (FR-33240)</t>
  </si>
  <si>
    <t>mines</t>
  </si>
  <si>
    <t>Bardeau</t>
  </si>
  <si>
    <t>Noa</t>
  </si>
  <si>
    <t>33240</t>
  </si>
  <si>
    <t>SAINT ANDRE DE CUBZAC</t>
  </si>
  <si>
    <t>2607281127LPFRMKQKFR</t>
  </si>
  <si>
    <t>La Poste Lettre - Lettre Verte Suivie vers BAYEUX (FR-14400)</t>
  </si>
  <si>
    <t>Dupré</t>
  </si>
  <si>
    <t>Thibaut</t>
  </si>
  <si>
    <t>14400</t>
  </si>
  <si>
    <t>BAYEUX</t>
  </si>
  <si>
    <t>2607281130LPFRMKQUFR</t>
  </si>
  <si>
    <t>La Poste Lettre - Lettre Verte Suivie vers EUFFIGNEIX (FR-52000)</t>
  </si>
  <si>
    <t>Brunot</t>
  </si>
  <si>
    <t>Delphine</t>
  </si>
  <si>
    <t>52000</t>
  </si>
  <si>
    <t>EUFFIGNEIX</t>
  </si>
  <si>
    <t>2607281132LPFRMKRFFR</t>
  </si>
  <si>
    <t>La Poste Lettre - Lettre Verte Suivie vers LESCONIL (FR-29740)</t>
  </si>
  <si>
    <t>Coadou</t>
  </si>
  <si>
    <t>Estelle</t>
  </si>
  <si>
    <t>29740</t>
  </si>
  <si>
    <t>LESCONIL</t>
  </si>
  <si>
    <t>2607281134LPFRMKRMFR</t>
  </si>
  <si>
    <t>La Poste Lettre - Lettre Verte Suivie vers AMMERSCHWIHR (FR-68770)</t>
  </si>
  <si>
    <t>Debeir</t>
  </si>
  <si>
    <t>Mathéo</t>
  </si>
  <si>
    <t>68770</t>
  </si>
  <si>
    <t>AMMERSCHWIHR</t>
  </si>
  <si>
    <t>2607281136LPFRMKRUFR</t>
  </si>
  <si>
    <t>La Poste Lettre - Lettre Verte Suivie vers PESSAC (FR-33600)</t>
  </si>
  <si>
    <t>Vergès</t>
  </si>
  <si>
    <t>Clement</t>
  </si>
  <si>
    <t>33600</t>
  </si>
  <si>
    <t>PESSAC</t>
  </si>
  <si>
    <t>2607281137LPFRMKRZFR</t>
  </si>
  <si>
    <t>La Poste Lettre - Lettre Verte Suivie vers PARIS (FR-75011)</t>
  </si>
  <si>
    <t>Azoulay</t>
  </si>
  <si>
    <t>Benjamin</t>
  </si>
  <si>
    <t>75011</t>
  </si>
  <si>
    <t>2607281139LPFRMKS7FR</t>
  </si>
  <si>
    <t>La Poste Lettre - Lettre Verte Suivie vers RIVEL (FR-11230)</t>
  </si>
  <si>
    <t>Dubois</t>
  </si>
  <si>
    <t>Henri</t>
  </si>
  <si>
    <t>11230</t>
  </si>
  <si>
    <t>RIVEL</t>
  </si>
  <si>
    <t>2607281141LPFRMKSKFR</t>
  </si>
  <si>
    <t>La Poste Lettre - Lettre Verte Suivie vers LE HAVRE (FR-76610)</t>
  </si>
  <si>
    <t>Roméra</t>
  </si>
  <si>
    <t>Erika</t>
  </si>
  <si>
    <t>76610</t>
  </si>
  <si>
    <t>LE HAVRE</t>
  </si>
  <si>
    <t>2607281142LPFRMKSNFR</t>
  </si>
  <si>
    <t>La Poste Lettre - Lettre Verte Suivie vers MORLAIX (FR-29600)</t>
  </si>
  <si>
    <t>Chatrefou</t>
  </si>
  <si>
    <t>29600</t>
  </si>
  <si>
    <t>MORLAIX</t>
  </si>
  <si>
    <t>2607281144LPFRMKSZFR</t>
  </si>
  <si>
    <t>La Poste Lettre - Lettre Verte Suivie vers TOURS (FR-37000)</t>
  </si>
  <si>
    <t>Valzer</t>
  </si>
  <si>
    <t>Camille</t>
  </si>
  <si>
    <t>37000</t>
  </si>
  <si>
    <t>TOURS</t>
  </si>
  <si>
    <t>2607281145LPFRMKT4FR</t>
  </si>
  <si>
    <t>La Poste Lettre - Lettre Verte Suivie vers TAVERNY (FR-95150)</t>
  </si>
  <si>
    <t>Eliassa</t>
  </si>
  <si>
    <t>Oualid</t>
  </si>
  <si>
    <t>95150</t>
  </si>
  <si>
    <t>TAVERNY</t>
  </si>
  <si>
    <t>2607281147LPFRMKTBFR</t>
  </si>
  <si>
    <t>La Poste Lettre - Lettre Verte Suivie vers LATRAPE (FR-31310)</t>
  </si>
  <si>
    <t>francis</t>
  </si>
  <si>
    <t>GUILHIN</t>
  </si>
  <si>
    <t>31310</t>
  </si>
  <si>
    <t>LATRAPE</t>
  </si>
  <si>
    <t>2607281148LPFRMKTIFR</t>
  </si>
  <si>
    <t>La Poste Lettre - Lettre Verte Suivie vers BARBAZAN DEBAT (FR-65690)</t>
  </si>
  <si>
    <t>Martinez</t>
  </si>
  <si>
    <t>Sébastien</t>
  </si>
  <si>
    <t>65690</t>
  </si>
  <si>
    <t>BARBAZAN DEBAT</t>
  </si>
  <si>
    <t>2607281150LPFRMKTPFR</t>
  </si>
  <si>
    <t>La Poste Lettre - Lettre Verte Suivie vers VAUGNERAY (FR-69670)</t>
  </si>
  <si>
    <t>Renault</t>
  </si>
  <si>
    <t>Patrick</t>
  </si>
  <si>
    <t>69670</t>
  </si>
  <si>
    <t>VAUGNERAY</t>
  </si>
  <si>
    <t>2607281151LPFRMKTXFR</t>
  </si>
  <si>
    <t>La Poste Lettre - Lettre Verte Suivie vers ERMONT (FR-95120)</t>
  </si>
  <si>
    <t>Dalbin</t>
  </si>
  <si>
    <t>Arnaud</t>
  </si>
  <si>
    <t>95120</t>
  </si>
  <si>
    <t>ERMONT</t>
  </si>
  <si>
    <t>2607281152LPFRMKU4FR</t>
  </si>
  <si>
    <t>La Poste Lettre - Lettre Verte Suivie vers VILLEPARISIS (FR-77270)</t>
  </si>
  <si>
    <t>SYLLA</t>
  </si>
  <si>
    <t>Mohammed</t>
  </si>
  <si>
    <t>77270</t>
  </si>
  <si>
    <t>VILLEPARISIS</t>
  </si>
  <si>
    <t>2607281156LPFRMKUYFR</t>
  </si>
  <si>
    <t>La Poste Lettre - Lettre Verte Suivie vers LA MEMBROLLE SUR CHOISILLE (FR-37390)</t>
  </si>
  <si>
    <t>VÉNIANT</t>
  </si>
  <si>
    <t>Laurence</t>
  </si>
  <si>
    <t>37390</t>
  </si>
  <si>
    <t>LA MEMBROLLE SUR CHOISILLE</t>
  </si>
  <si>
    <t>2607281157LPFRMKV5FR</t>
  </si>
  <si>
    <t>La Poste Lettre - Lettre Verte Suivie vers LA SICAUDAIS (FR-44320)</t>
  </si>
  <si>
    <t>Leduc</t>
  </si>
  <si>
    <t>thierry</t>
  </si>
  <si>
    <t>44320</t>
  </si>
  <si>
    <t>LA SICAUDAIS</t>
  </si>
  <si>
    <t>2607281158LPFRMKVCFR</t>
  </si>
  <si>
    <t>La Poste Lettre - Lettre Verte Suivie vers MAGNY LA CAMPAGNE (FR-14270)</t>
  </si>
  <si>
    <t>Riviere</t>
  </si>
  <si>
    <t>Yanis</t>
  </si>
  <si>
    <t>14270</t>
  </si>
  <si>
    <t>MAGNY LA CAMPAGNE</t>
  </si>
  <si>
    <t>2607281159LPFRMKVIFR</t>
  </si>
  <si>
    <t>La Poste Lettre - Lettre Verte Suivie vers WANGEN (FR-67520)</t>
  </si>
  <si>
    <t>Heckmann</t>
  </si>
  <si>
    <t>Guillaume</t>
  </si>
  <si>
    <t>67520</t>
  </si>
  <si>
    <t>WANGEN</t>
  </si>
  <si>
    <t>2607281201LPFRMKWQFR</t>
  </si>
  <si>
    <t>La Poste Lettre - Lettre Verte Suivie vers LE HAVRE (FR-76620)</t>
  </si>
  <si>
    <t>Minesgommes</t>
  </si>
  <si>
    <t>bessonnet</t>
  </si>
  <si>
    <t>sebastien</t>
  </si>
  <si>
    <t>76620</t>
  </si>
  <si>
    <t>2607281203LPFRMKWSFR</t>
  </si>
  <si>
    <t>La Poste Lettre - Lettre Verte Suivie vers LYON (FR-69002)</t>
  </si>
  <si>
    <t>Balbi</t>
  </si>
  <si>
    <t>Baptiste</t>
  </si>
  <si>
    <t>69002</t>
  </si>
  <si>
    <t>LYON</t>
  </si>
  <si>
    <t>2607281204LPFRMKX5FR</t>
  </si>
  <si>
    <t>La Poste Lettre - Lettre Verte Suivie vers HEM (FR-59510)</t>
  </si>
  <si>
    <t>Fabien</t>
  </si>
  <si>
    <t>Mousset</t>
  </si>
  <si>
    <t>59510</t>
  </si>
  <si>
    <t>HEM</t>
  </si>
  <si>
    <t>2607281206LPFRMKXBFR</t>
  </si>
  <si>
    <t>La Poste Lettre - Lettre Verte Suivie vers PIENNES (FR-54490)</t>
  </si>
  <si>
    <t>BARROS PINTO</t>
  </si>
  <si>
    <t>Rafael</t>
  </si>
  <si>
    <t>54490</t>
  </si>
  <si>
    <t>PIENNES</t>
  </si>
  <si>
    <t>2607281207LPFRMKXFFR</t>
  </si>
  <si>
    <t>La Poste Lettre - Lettre Verte Suivie vers GOUSSAINVILLE (FR-95190)</t>
  </si>
  <si>
    <t>Beriane</t>
  </si>
  <si>
    <t>Haissam</t>
  </si>
  <si>
    <t>95190</t>
  </si>
  <si>
    <t>GOUSSAINVILLE</t>
  </si>
  <si>
    <t>2607281209LPFRMKXLFR</t>
  </si>
  <si>
    <t>La Poste Lettre - Lettre Verte Suivie vers WOIPPY (FR-57140)</t>
  </si>
  <si>
    <t>Rinck</t>
  </si>
  <si>
    <t>Muriel</t>
  </si>
  <si>
    <t>57140</t>
  </si>
  <si>
    <t>WOIPPY</t>
  </si>
  <si>
    <t>2607281211LPFRMKXQFR</t>
  </si>
  <si>
    <t>La Poste Lettre - Lettre Verte Suivie vers MARQUETTE LEZ LILLE (FR-59520)</t>
  </si>
  <si>
    <t>Grumetz</t>
  </si>
  <si>
    <t>Florent</t>
  </si>
  <si>
    <t>59520</t>
  </si>
  <si>
    <t>MARQUETTE LEZ LILLE</t>
  </si>
  <si>
    <t>2607281213LPFRMKXWFR</t>
  </si>
  <si>
    <t>La Poste Lettre - Lettre Verte Suivie vers CHAMBEON (FR-42110)</t>
  </si>
  <si>
    <t>Fontimpe</t>
  </si>
  <si>
    <t>Aude</t>
  </si>
  <si>
    <t>42110</t>
  </si>
  <si>
    <t>CHAMBEON</t>
  </si>
  <si>
    <t>2607281214LPFRMKY5FR</t>
  </si>
  <si>
    <t>La Poste Lettre - Lettre Verte Suivie vers LANGEAC (FR-43300)</t>
  </si>
  <si>
    <t>Coblard</t>
  </si>
  <si>
    <t>Amélie</t>
  </si>
  <si>
    <t>43300</t>
  </si>
  <si>
    <t>LANGEAC</t>
  </si>
  <si>
    <t>2607281216LPFRMKY8FR</t>
  </si>
  <si>
    <t>La Poste Lettre - Lettre Verte Suivie vers TEMPLEUVE EN PEVELE (FR-59242)</t>
  </si>
  <si>
    <t>SAUVAIRE</t>
  </si>
  <si>
    <t>59242</t>
  </si>
  <si>
    <t>TEMPLEUVE EN PEVELE</t>
  </si>
  <si>
    <t>2607281217LPFRMKY9FR</t>
  </si>
  <si>
    <t>La Poste Lettre - Lettre Verte Suivie vers SAINT GERMAIN EN LAYE (FR-78100)</t>
  </si>
  <si>
    <t>Trieste</t>
  </si>
  <si>
    <t>Léa</t>
  </si>
  <si>
    <t>78100</t>
  </si>
  <si>
    <t>SAINT GERMAIN EN LAYE</t>
  </si>
  <si>
    <t>2607281218LPFRMKYFFR</t>
  </si>
  <si>
    <t>La Poste Lettre - Lettre Verte Suivie vers MUTTERSHOLTZ (FR-67600)</t>
  </si>
  <si>
    <t>Defrance</t>
  </si>
  <si>
    <t>Jean-Marie</t>
  </si>
  <si>
    <t>67600</t>
  </si>
  <si>
    <t>MUTTERSHOLTZ</t>
  </si>
  <si>
    <t>2607281220LPFRMKYJFR</t>
  </si>
  <si>
    <t>La Poste Lettre - Lettre Verte Suivie vers SAINT MICHEL (FR-31220)</t>
  </si>
  <si>
    <t>MANNONI</t>
  </si>
  <si>
    <t>Sophie</t>
  </si>
  <si>
    <t>31220</t>
  </si>
  <si>
    <t>SAINT MICHEL</t>
  </si>
  <si>
    <t>2607281221LPFRMKYUFR</t>
  </si>
  <si>
    <t>La Poste Lettre - Lettre Verte Suivie vers HON HERGIES (FR-59570)</t>
  </si>
  <si>
    <t>Pontanus</t>
  </si>
  <si>
    <t>59570</t>
  </si>
  <si>
    <t>HON HERGIES</t>
  </si>
  <si>
    <t>2607281223LPFRMKZRFR</t>
  </si>
  <si>
    <t>2607291214LPFRMNQ8FR</t>
  </si>
  <si>
    <t>La Poste Lettre - Lettre Verte Suivie vers FLEURY MEROGIS (FR-91700)</t>
  </si>
  <si>
    <t>crayon</t>
  </si>
  <si>
    <t>SOUKOUNA</t>
  </si>
  <si>
    <t>Magou</t>
  </si>
  <si>
    <t>91700</t>
  </si>
  <si>
    <t>FLEURY MEROGIS</t>
  </si>
  <si>
    <t>2607291216LPFRMNQFFR</t>
  </si>
  <si>
    <t>La Poste Lettre - Lettre Verte Suivie vers DOMPIERRE SUR MER (FR-17139)</t>
  </si>
  <si>
    <t>Rousseau</t>
  </si>
  <si>
    <t>Maël</t>
  </si>
  <si>
    <t>17139</t>
  </si>
  <si>
    <t>DOMPIERRE SUR MER</t>
  </si>
  <si>
    <t>2607291218LPFRMNQQFR</t>
  </si>
  <si>
    <t>La Poste Lettre - Lettre Verte Suivie vers PUTEAUX (FR-92800)</t>
  </si>
  <si>
    <t>Breart</t>
  </si>
  <si>
    <t>92800</t>
  </si>
  <si>
    <t>PUTEAUX</t>
  </si>
  <si>
    <t>2607291221LPFRMNRQFR</t>
  </si>
  <si>
    <t>La Poste Lettre - Lettre Verte Suivie vers BIARRITZ (FR-64200)</t>
  </si>
  <si>
    <t>Tedesco</t>
  </si>
  <si>
    <t>Isabelle</t>
  </si>
  <si>
    <t>64200</t>
  </si>
  <si>
    <t>BIARRITZ</t>
  </si>
  <si>
    <t>2607291224LPFRMNTGFR</t>
  </si>
  <si>
    <t>La Poste Lettre - Lettre Verte Suivie vers MONTPELLIER (FR-34000)</t>
  </si>
  <si>
    <t>chez Pomme d api</t>
  </si>
  <si>
    <t>Lucie Simon</t>
  </si>
  <si>
    <t>34000</t>
  </si>
  <si>
    <t>MONTPELLIER</t>
  </si>
  <si>
    <t>2607291226LPFRMNTPFR</t>
  </si>
  <si>
    <t>La Poste Lettre - Lettre Verte Suivie vers HAUTOT SUR MER (FR-76550)</t>
  </si>
  <si>
    <t>76550</t>
  </si>
  <si>
    <t>HAUTOT SUR MER</t>
  </si>
  <si>
    <t>2607291228LPFRMNTTFR</t>
  </si>
  <si>
    <t>La Poste Lettre - Lettre Verte Suivie vers COMMENAILLES (FR-39140)</t>
  </si>
  <si>
    <t>Pichot</t>
  </si>
  <si>
    <t>Sandy</t>
  </si>
  <si>
    <t>39140</t>
  </si>
  <si>
    <t>COMMENAILLES</t>
  </si>
  <si>
    <t>2607291229LPFRMNU4FR</t>
  </si>
  <si>
    <t>La Poste Lettre - Lettre Verte Suivie vers PETITE FORET (FR-59494)</t>
  </si>
  <si>
    <t>Stroobants</t>
  </si>
  <si>
    <t>59494</t>
  </si>
  <si>
    <t>PETITE FORET</t>
  </si>
  <si>
    <t>2607291230LPFRMNUCFR</t>
  </si>
  <si>
    <t>La Poste Lettre - Lettre Verte Suivie vers SUMENE (FR-30440)</t>
  </si>
  <si>
    <t>Cavalier</t>
  </si>
  <si>
    <t>Huguette</t>
  </si>
  <si>
    <t>30440</t>
  </si>
  <si>
    <t>SUMENE</t>
  </si>
  <si>
    <t>2607291232LPFRMNUGFR</t>
  </si>
  <si>
    <t>La Poste Lettre - Lettre Verte Suivie vers LE NEUBOURG (FR-27110)</t>
  </si>
  <si>
    <t>Bousselaire</t>
  </si>
  <si>
    <t>Jerome</t>
  </si>
  <si>
    <t>27110</t>
  </si>
  <si>
    <t>LE NEUBOURG</t>
  </si>
  <si>
    <t>2607291233LPFRMNUJFR</t>
  </si>
  <si>
    <t>MARX</t>
  </si>
  <si>
    <t>THIERRY</t>
  </si>
  <si>
    <t>2607291235LPFRMNUWFR</t>
  </si>
  <si>
    <t>La Poste Lettre - Lettre Verte Suivie vers LUTTERBACH (FR-68460)</t>
  </si>
  <si>
    <t>FLORES</t>
  </si>
  <si>
    <t>Lucas</t>
  </si>
  <si>
    <t>68460</t>
  </si>
  <si>
    <t>LUTTERBACH</t>
  </si>
  <si>
    <t>2607291236LPFRMNV1FR</t>
  </si>
  <si>
    <t>La Poste Lettre - Lettre Verte Suivie vers MAUGUIO (FR-34130)</t>
  </si>
  <si>
    <t>Seychelles</t>
  </si>
  <si>
    <t>Maëlle</t>
  </si>
  <si>
    <t>34130</t>
  </si>
  <si>
    <t>MAUGUIO</t>
  </si>
  <si>
    <t>2607291237LPFRMNV5FR</t>
  </si>
  <si>
    <t>La Poste Lettre - Lettre Verte Suivie vers PLANCOET (FR-22130)</t>
  </si>
  <si>
    <t>salaun</t>
  </si>
  <si>
    <t>liam</t>
  </si>
  <si>
    <t>22130</t>
  </si>
  <si>
    <t>PLANCOET</t>
  </si>
  <si>
    <t>2607291238LPFRMNVAFR</t>
  </si>
  <si>
    <t>La Poste Lettre - Lettre Verte Suivie vers SAINT VINCENT DE PAUL (FR-40990)</t>
  </si>
  <si>
    <t>Crucé</t>
  </si>
  <si>
    <t>Xavier</t>
  </si>
  <si>
    <t>40990</t>
  </si>
  <si>
    <t>SAINT VINCENT DE PAUL</t>
  </si>
  <si>
    <t>2607291239LPFRMNVJFR</t>
  </si>
  <si>
    <t>La Poste Lettre - Lettre Verte Suivie vers SAINT HERBLAIN (FR-44800)</t>
  </si>
  <si>
    <t>Chesnais</t>
  </si>
  <si>
    <t>Julien</t>
  </si>
  <si>
    <t>44800</t>
  </si>
  <si>
    <t>SAINT HERBLAIN</t>
  </si>
  <si>
    <t>2607291240LPFRMNVLFR</t>
  </si>
  <si>
    <t>La Poste Lettre - Lettre Verte Suivie vers ALLONNES (FR-49650)</t>
  </si>
  <si>
    <t>Lebaupin</t>
  </si>
  <si>
    <t>49650</t>
  </si>
  <si>
    <t>ALLONNES</t>
  </si>
  <si>
    <t>2607291242LPFRMNVUFR</t>
  </si>
  <si>
    <t>La Poste Lettre - Lettre Verte Suivie vers MORCENX (FR-40110)</t>
  </si>
  <si>
    <t>Breulles</t>
  </si>
  <si>
    <t>40110</t>
  </si>
  <si>
    <t>MORCENX</t>
  </si>
  <si>
    <t>2607291243LPFRMNVYFR</t>
  </si>
  <si>
    <t>La Poste Lettre - Lettre Verte Suivie vers COURTONNE LES DEUX EGLISES (FR-14290)</t>
  </si>
  <si>
    <t>brault</t>
  </si>
  <si>
    <t>14290</t>
  </si>
  <si>
    <t>COURTONNE LES DEUX EGLISES</t>
  </si>
  <si>
    <t>2607291244LPFRMNW1FR</t>
  </si>
  <si>
    <t>La Poste Lettre - Lettre Verte Suivie vers SAINT MARTIN LE VINOUX (FR-38950)</t>
  </si>
  <si>
    <t>LEVET</t>
  </si>
  <si>
    <t>HEIDI</t>
  </si>
  <si>
    <t>38950</t>
  </si>
  <si>
    <t>SAINT MARTIN LE VINOUX</t>
  </si>
  <si>
    <t>2607291246LPFRMNWHFR</t>
  </si>
  <si>
    <t>La Poste Lettre - Lettre Verte Suivie vers NAILLOUX (FR-31560)</t>
  </si>
  <si>
    <t>Lousteau</t>
  </si>
  <si>
    <t>31560</t>
  </si>
  <si>
    <t>NAILLOUX</t>
  </si>
  <si>
    <t>2607291247LPFRMNWJFR</t>
  </si>
  <si>
    <t>La Poste Lettre - Lettre Verte Suivie vers SURESNES (FR-92150)</t>
  </si>
  <si>
    <t>Lemaire</t>
  </si>
  <si>
    <t>Jacques</t>
  </si>
  <si>
    <t>92150</t>
  </si>
  <si>
    <t>SURESNES</t>
  </si>
  <si>
    <t>2607291249LPFRMNXXFR</t>
  </si>
  <si>
    <t>La Poste Lettre - Lettre Verte Suivie vers CHARTRES (FR-28000)</t>
  </si>
  <si>
    <t>LEFEBVRE</t>
  </si>
  <si>
    <t>Laurent</t>
  </si>
  <si>
    <t>28000</t>
  </si>
  <si>
    <t>CHARTRES</t>
  </si>
  <si>
    <t>2607291250LPFRMNY0FR</t>
  </si>
  <si>
    <t>La Poste Lettre - Lettre Verte Suivie vers MONNETIER MORNEX (FR-74560)</t>
  </si>
  <si>
    <t>Badertscher</t>
  </si>
  <si>
    <t>Anaelle</t>
  </si>
  <si>
    <t>74560</t>
  </si>
  <si>
    <t>MONNETIER MORNEX</t>
  </si>
  <si>
    <t>2607291251LPFRMNY2FR</t>
  </si>
  <si>
    <t>La Poste Lettre - Lettre Verte Suivie vers PARIS (FR-75019)</t>
  </si>
  <si>
    <t>Philibert</t>
  </si>
  <si>
    <t>Colas</t>
  </si>
  <si>
    <t>75019</t>
  </si>
  <si>
    <t>2607291253LPFRMNY6FR</t>
  </si>
  <si>
    <t>La Poste Lettre - Lettre Verte Suivie vers BORDES (FR-64510)</t>
  </si>
  <si>
    <t>MONDIN</t>
  </si>
  <si>
    <t>64510</t>
  </si>
  <si>
    <t>BORDES</t>
  </si>
  <si>
    <t>2607291255LPFRMNYEFR</t>
  </si>
  <si>
    <t>La Poste Lettre - Lettre Verte Suivie vers LOUANNEC (FR-22700)</t>
  </si>
  <si>
    <t>Godé</t>
  </si>
  <si>
    <t>Dorian</t>
  </si>
  <si>
    <t>22700</t>
  </si>
  <si>
    <t>LOUANNEC</t>
  </si>
  <si>
    <t>2607291257LPFRMNYJFR</t>
  </si>
  <si>
    <t>La Poste Lettre - Lettre Verte Suivie vers NOISY LE SEC (FR-93130)</t>
  </si>
  <si>
    <t>BÉLONIE</t>
  </si>
  <si>
    <t>93130</t>
  </si>
  <si>
    <t>NOISY LE SEC</t>
  </si>
  <si>
    <t>2607291258LPFRMNYSFR</t>
  </si>
  <si>
    <t>La Poste Lettre - Lettre Verte Suivie vers DAMMARTIN EN GOELE (FR-77230)</t>
  </si>
  <si>
    <t>Ney</t>
  </si>
  <si>
    <t>Jean-Christophe</t>
  </si>
  <si>
    <t>77230</t>
  </si>
  <si>
    <t>DAMMARTIN EN GOELE</t>
  </si>
  <si>
    <t>2607291301LPFRMNZ8FR</t>
  </si>
  <si>
    <t>La Poste Lettre - Lettre Verte Suivie vers LYON (FR-69003)</t>
  </si>
  <si>
    <t>Jérôme</t>
  </si>
  <si>
    <t>Bedelet</t>
  </si>
  <si>
    <t>69003</t>
  </si>
  <si>
    <t>2607291302LPFRMNZBFR</t>
  </si>
  <si>
    <t>La Poste Lettre - Lettre Verte Suivie vers LE BREUIL (FR-71670)</t>
  </si>
  <si>
    <t>Leger</t>
  </si>
  <si>
    <t>Ewan</t>
  </si>
  <si>
    <t>71670</t>
  </si>
  <si>
    <t>LE BREUIL</t>
  </si>
  <si>
    <t>2607291303LPFRMNZEFR</t>
  </si>
  <si>
    <t>La Poste Lettre - Lettre Verte Suivie vers BERMONT (FR-90400)</t>
  </si>
  <si>
    <t>Bataille</t>
  </si>
  <si>
    <t>Arthur</t>
  </si>
  <si>
    <t>90400</t>
  </si>
  <si>
    <t>BERMONT</t>
  </si>
  <si>
    <t>2607291304LPFRMNZHFR</t>
  </si>
  <si>
    <t>La Poste Lettre - Lettre Verte Suivie vers MALPAS (FR-25160)</t>
  </si>
  <si>
    <t>Pereira</t>
  </si>
  <si>
    <t>Stephanie</t>
  </si>
  <si>
    <t>25160</t>
  </si>
  <si>
    <t>MALPAS</t>
  </si>
  <si>
    <t>2607291305LPFRMNZMFR</t>
  </si>
  <si>
    <t>La Poste Lettre - Lettre Verte Suivie vers VAL D ERDRE AUXENCE (FR-49370)</t>
  </si>
  <si>
    <t>MERCIER</t>
  </si>
  <si>
    <t>CLARA</t>
  </si>
  <si>
    <t>49370</t>
  </si>
  <si>
    <t>VAL D ERDRE AUXENCE</t>
  </si>
  <si>
    <t>2607291306LPFRMNZTFR</t>
  </si>
  <si>
    <t>La Poste Lettre - Lettre Verte Suivie vers LYON (FR-69005)</t>
  </si>
  <si>
    <t>Caubit</t>
  </si>
  <si>
    <t>Stephan</t>
  </si>
  <si>
    <t>69005</t>
  </si>
  <si>
    <t>2607291307LPFRMO01FR</t>
  </si>
  <si>
    <t>La Poste Lettre - Lettre Verte Suivie vers SAINT MARTIN D HERES (FR-38400)</t>
  </si>
  <si>
    <t>Guidetti</t>
  </si>
  <si>
    <t>Eylora</t>
  </si>
  <si>
    <t>38400</t>
  </si>
  <si>
    <t>SAINT MARTIN D HERES</t>
  </si>
  <si>
    <t>2607291308LPFRMO03FR</t>
  </si>
  <si>
    <t>La Poste Lettre - Lettre Verte Suivie vers MARZY (FR-58180)</t>
  </si>
  <si>
    <t>Germond</t>
  </si>
  <si>
    <t>Elise</t>
  </si>
  <si>
    <t>58180</t>
  </si>
  <si>
    <t>MARZY</t>
  </si>
  <si>
    <t>2607291310LPFRMO07FR</t>
  </si>
  <si>
    <t>La Poste Lettre - Lettre Verte Suivie vers AGEN (FR-47000)</t>
  </si>
  <si>
    <t>Girard</t>
  </si>
  <si>
    <t>47000</t>
  </si>
  <si>
    <t>AGEN</t>
  </si>
  <si>
    <t>2607291312LPFRMO0HFR</t>
  </si>
  <si>
    <t>La Poste Lettre - Lettre Verte Suivie vers VALLAURIS (FR-06220)</t>
  </si>
  <si>
    <t>chez Me LEONETTI notaire</t>
  </si>
  <si>
    <t>Fleur CHARMEUX</t>
  </si>
  <si>
    <t>06220</t>
  </si>
  <si>
    <t>VALLAURIS</t>
  </si>
  <si>
    <t>2607291314LPFRMO0IFR</t>
  </si>
  <si>
    <t>André</t>
  </si>
  <si>
    <t>Maude</t>
  </si>
  <si>
    <t>2607291315LPFRMO0SFR</t>
  </si>
  <si>
    <t>La Poste Lettre - Lettre Verte Suivie vers PONT SCORFF (FR-56620)</t>
  </si>
  <si>
    <t>Gauvillé</t>
  </si>
  <si>
    <t>56620</t>
  </si>
  <si>
    <t>PONT SCORFF</t>
  </si>
  <si>
    <t>2607291316LPFRMO0UFR</t>
  </si>
  <si>
    <t>La Poste Lettre - Lettre Verte Suivie vers ANGOULEME (FR-16000)</t>
  </si>
  <si>
    <t>heitz</t>
  </si>
  <si>
    <t>mika</t>
  </si>
  <si>
    <t>16000</t>
  </si>
  <si>
    <t>ANGOULEME</t>
  </si>
  <si>
    <t>2607291317LPFRMO0XFR</t>
  </si>
  <si>
    <t>La Poste Lettre - Lettre Verte Suivie vers NOUVION SUR MEUSE (FR-08160)</t>
  </si>
  <si>
    <t>Banas</t>
  </si>
  <si>
    <t>Eva</t>
  </si>
  <si>
    <t>08160</t>
  </si>
  <si>
    <t>NOUVION SUR MEUSE</t>
  </si>
  <si>
    <t>2607291318LPFRMO12FR</t>
  </si>
  <si>
    <t>La Poste Lettre - Lettre Verte Suivie vers CHAMBERY (FR-73000)</t>
  </si>
  <si>
    <t>didrik anne</t>
  </si>
  <si>
    <t>73000</t>
  </si>
  <si>
    <t>CHAMBERY</t>
  </si>
  <si>
    <t>2607291319LPFRMO1DFR</t>
  </si>
  <si>
    <t>La Poste Lettre - Lettre Verte Suivie vers ARQUES (FR-62510)</t>
  </si>
  <si>
    <t>Saafi</t>
  </si>
  <si>
    <t>Christelle</t>
  </si>
  <si>
    <t>62510</t>
  </si>
  <si>
    <t>ARQUES</t>
  </si>
  <si>
    <t>2607291320LPFRMO1JFR</t>
  </si>
  <si>
    <t>La Poste Lettre - Lettre Verte Suivie vers VILLENEUVE D ASCQ (FR-59650)</t>
  </si>
  <si>
    <t>Duterte</t>
  </si>
  <si>
    <t>59650</t>
  </si>
  <si>
    <t>VILLENEUVE D ASCQ</t>
  </si>
  <si>
    <t>2607291322LPFRMO1NFR</t>
  </si>
  <si>
    <t>La Poste Lettre - Lettre Verte Suivie vers NEVERS (FR-58000)</t>
  </si>
  <si>
    <t>Desmerger</t>
  </si>
  <si>
    <t>58000</t>
  </si>
  <si>
    <t>NEVERS</t>
  </si>
  <si>
    <t>2607291323LPFRMO1QFR</t>
  </si>
  <si>
    <t>2607291414LPFRMO8BFR</t>
  </si>
  <si>
    <t>La Poste Lettre - Lettre Verte Suivie vers DOUZY (FR-08140)</t>
  </si>
  <si>
    <t>Silveira</t>
  </si>
  <si>
    <t>Leandro</t>
  </si>
  <si>
    <t>08140</t>
  </si>
  <si>
    <t>DOUZY</t>
  </si>
  <si>
    <t>2607291415LPFRMO8VFR</t>
  </si>
  <si>
    <t>La Poste Lettre - Lettre Verte Suivie vers CHEMINAS (FR-07300)</t>
  </si>
  <si>
    <t>pamart</t>
  </si>
  <si>
    <t>sylvie</t>
  </si>
  <si>
    <t>07300</t>
  </si>
  <si>
    <t>CHEMINAS</t>
  </si>
  <si>
    <t>2607291417LPFRMO9SFR</t>
  </si>
  <si>
    <t>La Poste Lettre - Lettre Verte Suivie vers VERNON (FR-27200)</t>
  </si>
  <si>
    <t>Massot</t>
  </si>
  <si>
    <t>27200</t>
  </si>
  <si>
    <t>VERNON</t>
  </si>
  <si>
    <t>2607291418LPFRMOAGFR</t>
  </si>
  <si>
    <t>La Poste Lettre - Lettre Verte Suivie vers ASCHERES LE MARCHE (FR-45170)</t>
  </si>
  <si>
    <t>Renard</t>
  </si>
  <si>
    <t>Morgan</t>
  </si>
  <si>
    <t>45170</t>
  </si>
  <si>
    <t>ASCHERES LE MARCHE</t>
  </si>
  <si>
    <t>2607291420LPFRMOAMFR</t>
  </si>
  <si>
    <t>La Poste Lettre - Lettre Verte Suivie vers MATZENHEIM (FR-67150)</t>
  </si>
  <si>
    <t>Million</t>
  </si>
  <si>
    <t>Ivan</t>
  </si>
  <si>
    <t>67150</t>
  </si>
  <si>
    <t>MATZENHEIM</t>
  </si>
  <si>
    <t>2607291421LPFRMOAQFR</t>
  </si>
  <si>
    <t>2607291422LPFRMOAYFR</t>
  </si>
  <si>
    <t>2607291427LPFRMOBFFR</t>
  </si>
  <si>
    <t>2607291428LPFRMOBMFR</t>
  </si>
  <si>
    <t>2607291430LPFRMOBUFR</t>
  </si>
  <si>
    <t>2607291431LPFRMOC0FR</t>
  </si>
  <si>
    <t>2607291433LPFRMOC9FR</t>
  </si>
  <si>
    <t>2607291435LPFRMOCFFR</t>
  </si>
  <si>
    <t>2607291436LPFRMOCKFR</t>
  </si>
  <si>
    <t>La Poste Lettre - Lettre Verte Suivie vers THIONVILLE (FR-57100)</t>
  </si>
  <si>
    <t>Zuliani</t>
  </si>
  <si>
    <t>Cynthia</t>
  </si>
  <si>
    <t>57100</t>
  </si>
  <si>
    <t>THIONVILLE</t>
  </si>
  <si>
    <t>2607291438LPFRMOCPFR</t>
  </si>
  <si>
    <t>2607291439LPFRMOCTFR</t>
  </si>
  <si>
    <t>Les 145 colis ont été expédiés avec le compte de Dan.</t>
  </si>
  <si>
    <r>
      <t>N° de suivi — 15 cartons ferroviaires</t>
    </r>
    <r>
      <rPr>
        <sz val="10"/>
        <rFont val="Sathu"/>
        <charset val="134"/>
      </rPr>
      <t xml:space="preserve">
</t>
    </r>
    <r>
      <rPr>
        <sz val="10"/>
        <rFont val="宋体-简"/>
        <charset val="134"/>
      </rPr>
      <t>（</t>
    </r>
    <r>
      <rPr>
        <sz val="10"/>
        <rFont val="Sathu"/>
        <charset val="134"/>
      </rPr>
      <t>N° de suivi principal UPS</t>
    </r>
    <r>
      <rPr>
        <sz val="10"/>
        <rFont val="宋体-简"/>
        <charset val="134"/>
      </rPr>
      <t>）</t>
    </r>
    <r>
      <rPr>
        <sz val="10"/>
        <rFont val="Sathu"/>
        <charset val="134"/>
      </rPr>
      <t xml:space="preserve">
1ZB57B606816814465
1ZB57B606800729686
1ZB57B606801377804
1ZB57B606801534527
1ZB57B606801547577
1ZB57B606802506752
1ZB57B606803318561
1ZB57B606803465705
1ZB57B606805678731
1ZB57B606807128143
1ZB57B606807257781
1ZB57B606808293098
1ZB57B606814551476
1ZB57B606818193196
1ZB57B606819351512</t>
    </r>
  </si>
  <si>
    <t>Transport ferroviaire : 2,64 €/kg
Poids total des 15 cartons : 345 kg
Coût total : 910,80 €</t>
  </si>
  <si>
    <t xml:space="preserve">Crayons noirs : 400 pièces  
Crayons rouges : 400 pièces  
Crayons bleus : 240 pièces  
Crayons couleur aluminium : 160 pièces  
Crayons beiges : 60 pièces  
Crayons blancs : 40 pièces  
Lots de 4 mines  : 150 lots  
Mines de remplacement de chaque couleur : 
6 couleurs × 1 300 pièces ; 12 couleurs × 270 pièces  
Coffrets cadeaux : 60 pièces  
Lots de 2 gomme (vendus par lot de 2) : 
125 lots, soit 250 pièces  
Règles noires : 90 pièces  
Règles couleur aluminium : 90 pièces  
Carnets : 702 pièces  
</t>
  </si>
  <si>
    <r>
      <t>N° de suivi — 3 cartons 
transport aérien</t>
    </r>
    <r>
      <rPr>
        <sz val="10"/>
        <color rgb="FF000000"/>
        <rFont val="Sathu"/>
        <charset val="134"/>
      </rPr>
      <t xml:space="preserve">
1ZW3716B6817713199 
1ZW3716B6801266612
1ZW3716B6803146604
</t>
    </r>
    <r>
      <rPr>
        <strike/>
        <sz val="10"/>
        <color rgb="FF000000"/>
        <rFont val="Sathu"/>
        <charset val="134"/>
      </rPr>
      <t>1ZW3716B6810589220</t>
    </r>
  </si>
  <si>
    <t>Transport aérien : 7,26 €/kg
Poids total des 3 cartons : 64,5 kg
Coût total : 468,27 €</t>
  </si>
  <si>
    <t>Crayons noirs : 65 pièces  
Crayons rouges : 60 pièces  
Crayons bleus : 45 pièces  
Crayons couleur aluminium : 45 pièces  
Crayons beiges : 15 pièces  
Crayons blancs : 15 pièces  
Lots de 4 mines   : 90 lots  
12 Mines : 300 pièces 
Coffrets cadeaux : 50 pièces  
Lots 2 gomme : 75 lots  
Carnets : 120 pièces  
Supports pour crayons : 60 pièces</t>
  </si>
  <si>
    <t>1-2-3 : stock
4 : autre 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</si>
</sst>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  <numFmt numFmtId="177" formatCode="dd/mm/yyyy\ hh:mm:ss"/>
    <numFmt numFmtId="178" formatCode="#\ ##0.00"/>
    <numFmt numFmtId="179" formatCode="#\ ###\ ##0"/>
    <numFmt numFmtId="180" formatCode="0_ "/>
    <numFmt numFmtId="181" formatCode="0.00_ "/>
    <numFmt numFmtId="182" formatCode="#,##0.00&quot; &quot;"/>
    <numFmt numFmtId="183" formatCode="#,##0.00\ &quot;€&quot;;\-#,##0.00\ &quot;€&quot;"/>
    <numFmt numFmtId="184" formatCode="&quot;Montant : &quot;#,##0.00&quot; euros&quot;"/>
    <numFmt numFmtId="185" formatCode="#,##0.00[$€-2]"/>
  </numFmts>
  <fonts count="65">
    <font>
      <sz val="10"/>
      <color indexed="8"/>
      <name val="Arial"/>
      <charset val="134"/>
    </font>
    <font>
      <sz val="10"/>
      <name val="Arial"/>
      <charset val="134"/>
    </font>
    <font>
      <b/>
      <u/>
      <sz val="12"/>
      <name val="Sathu"/>
      <charset val="134"/>
    </font>
    <font>
      <sz val="10"/>
      <name val="Sathu"/>
      <charset val="134"/>
    </font>
    <font>
      <b/>
      <sz val="10"/>
      <name val="Sathu"/>
      <charset val="134"/>
    </font>
    <font>
      <b/>
      <sz val="10"/>
      <color rgb="FF000000"/>
      <name val="Sathu"/>
      <charset val="134"/>
    </font>
    <font>
      <b/>
      <sz val="10"/>
      <color indexed="8"/>
      <name val="Sathu"/>
      <charset val="134"/>
    </font>
    <font>
      <sz val="8"/>
      <color indexed="8"/>
      <name val="Arial"/>
      <charset val="134"/>
    </font>
    <font>
      <sz val="14"/>
      <color indexed="8"/>
      <name val="Arial"/>
      <charset val="134"/>
    </font>
    <font>
      <strike/>
      <sz val="10"/>
      <color rgb="FFC00000"/>
      <name val="Arial"/>
      <charset val="134"/>
    </font>
    <font>
      <sz val="11"/>
      <color indexed="8"/>
      <name val="Helvetica Neue"/>
      <charset val="134"/>
      <scheme val="minor"/>
    </font>
    <font>
      <strike/>
      <sz val="11"/>
      <color rgb="FFC00000"/>
      <name val="Helvetica Neue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rgb="FFC00000"/>
      <name val="宋体"/>
      <charset val="134"/>
    </font>
    <font>
      <sz val="20"/>
      <color rgb="FF000000"/>
      <name val="Arial"/>
      <charset val="134"/>
    </font>
    <font>
      <sz val="20"/>
      <color indexed="8"/>
      <name val="Arial"/>
      <charset val="134"/>
    </font>
    <font>
      <b/>
      <sz val="14"/>
      <color theme="0" tint="-0.05"/>
      <name val="Calibri"/>
      <charset val="134"/>
    </font>
    <font>
      <b/>
      <sz val="14"/>
      <color indexed="9"/>
      <name val="Calibri"/>
      <charset val="134"/>
    </font>
    <font>
      <b/>
      <sz val="11"/>
      <color indexed="9"/>
      <name val="Arial"/>
      <charset val="134"/>
    </font>
    <font>
      <b/>
      <sz val="14"/>
      <color indexed="8"/>
      <name val="Arial"/>
      <charset val="134"/>
    </font>
    <font>
      <b/>
      <sz val="10"/>
      <color rgb="FF00000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b/>
      <i/>
      <sz val="11"/>
      <color indexed="8"/>
      <name val="Arial"/>
      <charset val="134"/>
    </font>
    <font>
      <b/>
      <sz val="18"/>
      <color indexed="8"/>
      <name val="Arial"/>
      <charset val="134"/>
    </font>
    <font>
      <sz val="11"/>
      <color indexed="8"/>
      <name val="Calibri"/>
      <charset val="134"/>
    </font>
    <font>
      <b/>
      <sz val="11"/>
      <color theme="0"/>
      <name val="Arial"/>
      <charset val="134"/>
    </font>
    <font>
      <b/>
      <sz val="10"/>
      <color indexed="8"/>
      <name val="Arial"/>
      <charset val="134"/>
    </font>
    <font>
      <sz val="9"/>
      <color indexed="8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sz val="11"/>
      <name val="Arial"/>
      <charset val="134"/>
    </font>
    <font>
      <b/>
      <sz val="12"/>
      <color indexed="8"/>
      <name val="Arial"/>
      <charset val="134"/>
    </font>
    <font>
      <sz val="11"/>
      <color rgb="FFC00000"/>
      <name val="Helvetica Neue"/>
      <charset val="134"/>
      <scheme val="minor"/>
    </font>
    <font>
      <sz val="10"/>
      <color rgb="FF000000"/>
      <name val="Arial"/>
      <charset val="134"/>
    </font>
    <font>
      <sz val="11"/>
      <color theme="0"/>
      <name val="Arial"/>
      <charset val="134"/>
    </font>
    <font>
      <sz val="12"/>
      <color indexed="8"/>
      <name val="Calibri"/>
      <charset val="134"/>
    </font>
    <font>
      <sz val="12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theme="1"/>
      <name val="Helvetica Neue"/>
      <charset val="134"/>
      <scheme val="minor"/>
    </font>
    <font>
      <sz val="10"/>
      <name val="宋体-简"/>
      <charset val="134"/>
    </font>
    <font>
      <sz val="10"/>
      <color rgb="FF000000"/>
      <name val="Sathu"/>
      <charset val="134"/>
    </font>
    <font>
      <strike/>
      <sz val="10"/>
      <color rgb="FF000000"/>
      <name val="Sathu"/>
      <charset val="134"/>
    </font>
    <font>
      <sz val="10"/>
      <color rgb="FF000000"/>
      <name val="宋体-简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/>
    <xf numFmtId="43" fontId="40" fillId="0" borderId="0" applyFont="0" applyFill="0" applyBorder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2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7" borderId="3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33" applyNumberFormat="0" applyFill="0" applyAlignment="0" applyProtection="0">
      <alignment vertical="center"/>
    </xf>
    <xf numFmtId="0" fontId="47" fillId="0" borderId="33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8" borderId="35" applyNumberFormat="0" applyAlignment="0" applyProtection="0">
      <alignment vertical="center"/>
    </xf>
    <xf numFmtId="0" fontId="50" fillId="19" borderId="36" applyNumberFormat="0" applyAlignment="0" applyProtection="0">
      <alignment vertical="center"/>
    </xf>
    <xf numFmtId="0" fontId="51" fillId="19" borderId="35" applyNumberFormat="0" applyAlignment="0" applyProtection="0">
      <alignment vertical="center"/>
    </xf>
    <xf numFmtId="0" fontId="52" fillId="20" borderId="37" applyNumberFormat="0" applyAlignment="0" applyProtection="0">
      <alignment vertical="center"/>
    </xf>
    <xf numFmtId="0" fontId="53" fillId="0" borderId="38" applyNumberFormat="0" applyFill="0" applyAlignment="0" applyProtection="0">
      <alignment vertical="center"/>
    </xf>
    <xf numFmtId="0" fontId="54" fillId="0" borderId="39" applyNumberFormat="0" applyFill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0" fillId="0" borderId="0" applyNumberFormat="0" applyFont="0" applyFill="0" applyBorder="0" applyProtection="0"/>
  </cellStyleXfs>
  <cellXfs count="198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wrapText="1"/>
    </xf>
    <xf numFmtId="0" fontId="8" fillId="5" borderId="7" xfId="0" applyFont="1" applyFill="1" applyBorder="1" applyAlignment="1">
      <alignment horizontal="center"/>
    </xf>
    <xf numFmtId="0" fontId="0" fillId="0" borderId="7" xfId="0" applyFont="1" applyBorder="1" applyAlignment="1"/>
    <xf numFmtId="0" fontId="0" fillId="0" borderId="8" xfId="0" applyFont="1" applyBorder="1" applyAlignment="1"/>
    <xf numFmtId="0" fontId="9" fillId="0" borderId="0" xfId="0" applyFont="1" applyAlignment="1"/>
    <xf numFmtId="0" fontId="10" fillId="0" borderId="0" xfId="0" applyNumberFormat="1" applyFont="1" applyFill="1" applyBorder="1" applyAlignment="1" applyProtection="1">
      <alignment vertical="center"/>
    </xf>
    <xf numFmtId="176" fontId="10" fillId="0" borderId="0" xfId="0" applyNumberFormat="1" applyFont="1" applyFill="1" applyBorder="1" applyAlignment="1" applyProtection="1"/>
    <xf numFmtId="177" fontId="10" fillId="0" borderId="0" xfId="0" applyNumberFormat="1" applyFont="1" applyFill="1" applyBorder="1" applyAlignment="1" applyProtection="1"/>
    <xf numFmtId="178" fontId="10" fillId="0" borderId="0" xfId="0" applyNumberFormat="1" applyFont="1" applyFill="1" applyBorder="1" applyAlignment="1" applyProtection="1"/>
    <xf numFmtId="179" fontId="10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vertical="center"/>
    </xf>
    <xf numFmtId="176" fontId="11" fillId="0" borderId="0" xfId="0" applyNumberFormat="1" applyFont="1" applyFill="1" applyBorder="1" applyAlignment="1" applyProtection="1"/>
    <xf numFmtId="177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vertical="center"/>
    </xf>
    <xf numFmtId="178" fontId="11" fillId="0" borderId="0" xfId="0" applyNumberFormat="1" applyFont="1" applyFill="1" applyBorder="1" applyAlignment="1" applyProtection="1"/>
    <xf numFmtId="179" fontId="11" fillId="0" borderId="0" xfId="0" applyNumberFormat="1" applyFont="1" applyFill="1" applyBorder="1" applyAlignment="1" applyProtection="1"/>
    <xf numFmtId="176" fontId="11" fillId="0" borderId="0" xfId="0" applyNumberFormat="1" applyFont="1" applyFill="1" applyBorder="1" applyAlignment="1" applyProtection="1"/>
    <xf numFmtId="177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vertical="center"/>
    </xf>
    <xf numFmtId="178" fontId="11" fillId="0" borderId="0" xfId="0" applyNumberFormat="1" applyFont="1" applyFill="1" applyBorder="1" applyAlignment="1" applyProtection="1"/>
    <xf numFmtId="179" fontId="11" fillId="0" borderId="0" xfId="0" applyNumberFormat="1" applyFont="1" applyFill="1" applyBorder="1" applyAlignment="1" applyProtection="1"/>
    <xf numFmtId="0" fontId="0" fillId="5" borderId="0" xfId="0" applyFont="1" applyFill="1" applyAlignment="1">
      <alignment horizontal="center"/>
    </xf>
    <xf numFmtId="0" fontId="0" fillId="5" borderId="9" xfId="0" applyFont="1" applyFill="1" applyBorder="1" applyAlignment="1"/>
    <xf numFmtId="0" fontId="0" fillId="6" borderId="0" xfId="0" applyFont="1" applyFill="1" applyAlignment="1"/>
    <xf numFmtId="0" fontId="0" fillId="0" borderId="0" xfId="0" applyFont="1" applyFill="1" applyAlignment="1"/>
    <xf numFmtId="0" fontId="1" fillId="0" borderId="0" xfId="0" applyFont="1" applyAlignment="1"/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13" fillId="5" borderId="0" xfId="0" applyNumberFormat="1" applyFont="1" applyFill="1" applyBorder="1" applyAlignment="1" applyProtection="1">
      <alignment horizontal="center" vertical="center" wrapText="1"/>
    </xf>
    <xf numFmtId="0" fontId="14" fillId="5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5" fillId="5" borderId="1" xfId="0" applyFont="1" applyFill="1" applyBorder="1" applyAlignment="1">
      <alignment horizontal="center" wrapText="1"/>
    </xf>
    <xf numFmtId="0" fontId="16" fillId="5" borderId="2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5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0" fillId="0" borderId="0" xfId="0" applyNumberFormat="1" applyFont="1" applyAlignment="1"/>
    <xf numFmtId="0" fontId="1" fillId="0" borderId="0" xfId="0" applyNumberFormat="1" applyFont="1" applyAlignment="1"/>
    <xf numFmtId="0" fontId="0" fillId="0" borderId="0" xfId="0" applyNumberFormat="1" applyFont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180" fontId="17" fillId="7" borderId="12" xfId="0" applyNumberFormat="1" applyFont="1" applyFill="1" applyBorder="1" applyAlignment="1">
      <alignment horizontal="center" vertical="center"/>
    </xf>
    <xf numFmtId="181" fontId="17" fillId="7" borderId="12" xfId="0" applyNumberFormat="1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0" fillId="9" borderId="0" xfId="0" applyFont="1" applyFill="1" applyBorder="1" applyAlignment="1"/>
    <xf numFmtId="180" fontId="0" fillId="9" borderId="0" xfId="0" applyNumberFormat="1" applyFont="1" applyFill="1" applyBorder="1" applyAlignment="1"/>
    <xf numFmtId="181" fontId="0" fillId="9" borderId="0" xfId="0" applyNumberFormat="1" applyFont="1" applyFill="1" applyBorder="1" applyAlignment="1"/>
    <xf numFmtId="0" fontId="0" fillId="9" borderId="10" xfId="0" applyFont="1" applyFill="1" applyBorder="1" applyAlignment="1"/>
    <xf numFmtId="0" fontId="0" fillId="0" borderId="10" xfId="0" applyFont="1" applyBorder="1" applyAlignment="1"/>
    <xf numFmtId="0" fontId="19" fillId="9" borderId="14" xfId="0" applyFont="1" applyFill="1" applyBorder="1" applyAlignment="1">
      <alignment vertical="center" wrapText="1"/>
    </xf>
    <xf numFmtId="181" fontId="20" fillId="9" borderId="0" xfId="0" applyNumberFormat="1" applyFont="1" applyFill="1" applyBorder="1" applyAlignment="1">
      <alignment horizontal="right" vertical="center" wrapText="1"/>
    </xf>
    <xf numFmtId="0" fontId="8" fillId="9" borderId="0" xfId="0" applyFont="1" applyFill="1" applyBorder="1" applyAlignment="1"/>
    <xf numFmtId="0" fontId="8" fillId="9" borderId="10" xfId="0" applyFont="1" applyFill="1" applyBorder="1" applyAlignment="1"/>
    <xf numFmtId="49" fontId="21" fillId="9" borderId="14" xfId="0" applyNumberFormat="1" applyFont="1" applyFill="1" applyBorder="1" applyAlignment="1">
      <alignment vertical="center" wrapText="1"/>
    </xf>
    <xf numFmtId="181" fontId="22" fillId="9" borderId="0" xfId="0" applyNumberFormat="1" applyFont="1" applyFill="1" applyBorder="1" applyAlignment="1">
      <alignment vertical="center"/>
    </xf>
    <xf numFmtId="0" fontId="22" fillId="8" borderId="10" xfId="0" applyFont="1" applyFill="1" applyBorder="1" applyAlignment="1">
      <alignment vertical="center"/>
    </xf>
    <xf numFmtId="0" fontId="22" fillId="9" borderId="14" xfId="0" applyFont="1" applyFill="1" applyBorder="1" applyAlignment="1">
      <alignment vertical="center"/>
    </xf>
    <xf numFmtId="0" fontId="22" fillId="9" borderId="0" xfId="0" applyFont="1" applyFill="1" applyBorder="1" applyAlignment="1">
      <alignment vertical="center"/>
    </xf>
    <xf numFmtId="180" fontId="22" fillId="9" borderId="0" xfId="0" applyNumberFormat="1" applyFont="1" applyFill="1" applyBorder="1" applyAlignment="1">
      <alignment vertical="center"/>
    </xf>
    <xf numFmtId="49" fontId="23" fillId="9" borderId="14" xfId="0" applyNumberFormat="1" applyFont="1" applyFill="1" applyBorder="1" applyAlignment="1">
      <alignment horizontal="left" vertical="center" wrapText="1"/>
    </xf>
    <xf numFmtId="181" fontId="23" fillId="9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Alignment="1"/>
    <xf numFmtId="181" fontId="24" fillId="9" borderId="0" xfId="0" applyNumberFormat="1" applyFont="1" applyFill="1" applyBorder="1" applyAlignment="1">
      <alignment horizontal="left" vertical="center" wrapText="1"/>
    </xf>
    <xf numFmtId="0" fontId="24" fillId="9" borderId="0" xfId="0" applyFont="1" applyFill="1" applyBorder="1" applyAlignment="1">
      <alignment horizontal="left" vertical="center" wrapText="1"/>
    </xf>
    <xf numFmtId="0" fontId="24" fillId="9" borderId="10" xfId="0" applyFont="1" applyFill="1" applyBorder="1" applyAlignment="1">
      <alignment horizontal="left" vertical="center" wrapText="1"/>
    </xf>
    <xf numFmtId="49" fontId="25" fillId="9" borderId="14" xfId="0" applyNumberFormat="1" applyFont="1" applyFill="1" applyBorder="1" applyAlignment="1">
      <alignment horizontal="center"/>
    </xf>
    <xf numFmtId="0" fontId="26" fillId="0" borderId="10" xfId="0" applyFont="1" applyBorder="1" applyAlignment="1"/>
    <xf numFmtId="0" fontId="26" fillId="9" borderId="15" xfId="0" applyFont="1" applyFill="1" applyBorder="1" applyAlignment="1"/>
    <xf numFmtId="0" fontId="0" fillId="9" borderId="16" xfId="0" applyFont="1" applyFill="1" applyBorder="1" applyAlignment="1"/>
    <xf numFmtId="180" fontId="0" fillId="9" borderId="16" xfId="0" applyNumberFormat="1" applyFont="1" applyFill="1" applyBorder="1" applyAlignment="1"/>
    <xf numFmtId="181" fontId="0" fillId="9" borderId="16" xfId="0" applyNumberFormat="1" applyFont="1" applyFill="1" applyBorder="1" applyAlignment="1"/>
    <xf numFmtId="0" fontId="0" fillId="9" borderId="17" xfId="0" applyFont="1" applyFill="1" applyBorder="1" applyAlignment="1"/>
    <xf numFmtId="49" fontId="23" fillId="10" borderId="18" xfId="0" applyNumberFormat="1" applyFont="1" applyFill="1" applyBorder="1" applyAlignment="1">
      <alignment horizontal="center" vertical="center" wrapText="1"/>
    </xf>
    <xf numFmtId="180" fontId="23" fillId="10" borderId="18" xfId="0" applyNumberFormat="1" applyFont="1" applyFill="1" applyBorder="1" applyAlignment="1">
      <alignment horizontal="center" vertical="center" wrapText="1"/>
    </xf>
    <xf numFmtId="181" fontId="23" fillId="10" borderId="18" xfId="0" applyNumberFormat="1" applyFont="1" applyFill="1" applyBorder="1" applyAlignment="1">
      <alignment horizontal="center" vertical="center" wrapText="1"/>
    </xf>
    <xf numFmtId="49" fontId="27" fillId="11" borderId="18" xfId="0" applyNumberFormat="1" applyFont="1" applyFill="1" applyBorder="1" applyAlignment="1">
      <alignment horizontal="center" vertical="center" wrapText="1"/>
    </xf>
    <xf numFmtId="180" fontId="27" fillId="11" borderId="18" xfId="0" applyNumberFormat="1" applyFont="1" applyFill="1" applyBorder="1" applyAlignment="1">
      <alignment horizontal="center" vertical="center" wrapText="1"/>
    </xf>
    <xf numFmtId="181" fontId="27" fillId="11" borderId="18" xfId="0" applyNumberFormat="1" applyFont="1" applyFill="1" applyBorder="1" applyAlignment="1">
      <alignment horizontal="center" vertical="center" wrapText="1"/>
    </xf>
    <xf numFmtId="49" fontId="22" fillId="10" borderId="18" xfId="0" applyNumberFormat="1" applyFont="1" applyFill="1" applyBorder="1" applyAlignment="1">
      <alignment horizontal="center" vertical="center" wrapText="1"/>
    </xf>
    <xf numFmtId="180" fontId="0" fillId="10" borderId="18" xfId="0" applyNumberFormat="1" applyFont="1" applyFill="1" applyBorder="1" applyAlignment="1">
      <alignment horizontal="center" vertical="center" wrapText="1"/>
    </xf>
    <xf numFmtId="181" fontId="22" fillId="10" borderId="18" xfId="0" applyNumberFormat="1" applyFont="1" applyFill="1" applyBorder="1" applyAlignment="1">
      <alignment horizontal="center" vertical="center" wrapText="1"/>
    </xf>
    <xf numFmtId="182" fontId="22" fillId="10" borderId="18" xfId="0" applyNumberFormat="1" applyFont="1" applyFill="1" applyBorder="1" applyAlignment="1">
      <alignment horizontal="center" vertical="center" wrapText="1"/>
    </xf>
    <xf numFmtId="180" fontId="28" fillId="10" borderId="18" xfId="0" applyNumberFormat="1" applyFont="1" applyFill="1" applyBorder="1" applyAlignment="1">
      <alignment horizontal="center" vertical="center" wrapText="1"/>
    </xf>
    <xf numFmtId="180" fontId="0" fillId="12" borderId="18" xfId="0" applyNumberFormat="1" applyFont="1" applyFill="1" applyBorder="1" applyAlignment="1">
      <alignment horizontal="center" vertical="center" wrapText="1"/>
    </xf>
    <xf numFmtId="180" fontId="29" fillId="12" borderId="18" xfId="0" applyNumberFormat="1" applyFont="1" applyFill="1" applyBorder="1" applyAlignment="1">
      <alignment horizontal="center" vertical="center" wrapText="1"/>
    </xf>
    <xf numFmtId="0" fontId="30" fillId="13" borderId="18" xfId="0" applyFont="1" applyFill="1" applyBorder="1" applyAlignment="1">
      <alignment horizontal="center" vertical="center"/>
    </xf>
    <xf numFmtId="180" fontId="30" fillId="13" borderId="18" xfId="0" applyNumberFormat="1" applyFont="1" applyFill="1" applyBorder="1" applyAlignment="1">
      <alignment horizontal="center" vertical="center"/>
    </xf>
    <xf numFmtId="181" fontId="30" fillId="13" borderId="18" xfId="0" applyNumberFormat="1" applyFont="1" applyFill="1" applyBorder="1" applyAlignment="1">
      <alignment horizontal="center" vertical="center"/>
    </xf>
    <xf numFmtId="183" fontId="30" fillId="13" borderId="18" xfId="0" applyNumberFormat="1" applyFont="1" applyFill="1" applyBorder="1" applyAlignment="1">
      <alignment horizontal="center" vertical="center"/>
    </xf>
    <xf numFmtId="49" fontId="31" fillId="9" borderId="19" xfId="0" applyNumberFormat="1" applyFont="1" applyFill="1" applyBorder="1" applyAlignment="1">
      <alignment horizontal="center" vertical="center" wrapText="1"/>
    </xf>
    <xf numFmtId="0" fontId="1" fillId="9" borderId="20" xfId="0" applyFont="1" applyFill="1" applyBorder="1" applyAlignment="1"/>
    <xf numFmtId="180" fontId="1" fillId="9" borderId="20" xfId="0" applyNumberFormat="1" applyFont="1" applyFill="1" applyBorder="1" applyAlignment="1"/>
    <xf numFmtId="181" fontId="1" fillId="9" borderId="20" xfId="0" applyNumberFormat="1" applyFont="1" applyFill="1" applyBorder="1" applyAlignment="1"/>
    <xf numFmtId="0" fontId="1" fillId="9" borderId="21" xfId="0" applyFont="1" applyFill="1" applyBorder="1" applyAlignment="1"/>
    <xf numFmtId="49" fontId="32" fillId="9" borderId="14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180" fontId="1" fillId="9" borderId="0" xfId="0" applyNumberFormat="1" applyFont="1" applyFill="1" applyBorder="1" applyAlignment="1"/>
    <xf numFmtId="181" fontId="1" fillId="9" borderId="0" xfId="0" applyNumberFormat="1" applyFont="1" applyFill="1" applyBorder="1" applyAlignment="1"/>
    <xf numFmtId="0" fontId="1" fillId="9" borderId="10" xfId="0" applyFont="1" applyFill="1" applyBorder="1" applyAlignment="1"/>
    <xf numFmtId="0" fontId="33" fillId="2" borderId="22" xfId="0" applyFont="1" applyFill="1" applyBorder="1" applyAlignment="1">
      <alignment horizontal="center"/>
    </xf>
    <xf numFmtId="0" fontId="0" fillId="0" borderId="10" xfId="0" applyFont="1" applyBorder="1" applyAlignment="1">
      <alignment horizontal="center" vertical="center"/>
    </xf>
    <xf numFmtId="49" fontId="30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80" fontId="1" fillId="9" borderId="20" xfId="0" applyNumberFormat="1" applyFont="1" applyFill="1" applyBorder="1" applyAlignment="1">
      <alignment horizontal="center" vertical="center"/>
    </xf>
    <xf numFmtId="181" fontId="1" fillId="9" borderId="20" xfId="0" applyNumberFormat="1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180" fontId="1" fillId="9" borderId="14" xfId="0" applyNumberFormat="1" applyFont="1" applyFill="1" applyBorder="1" applyAlignment="1">
      <alignment horizontal="center" vertical="center"/>
    </xf>
    <xf numFmtId="180" fontId="1" fillId="9" borderId="0" xfId="0" applyNumberFormat="1" applyFont="1" applyFill="1" applyBorder="1" applyAlignment="1">
      <alignment horizontal="center" vertical="center"/>
    </xf>
    <xf numFmtId="180" fontId="1" fillId="9" borderId="10" xfId="0" applyNumberFormat="1" applyFont="1" applyFill="1" applyBorder="1" applyAlignment="1">
      <alignment horizontal="center" vertical="center"/>
    </xf>
    <xf numFmtId="49" fontId="32" fillId="9" borderId="14" xfId="0" applyNumberFormat="1" applyFont="1" applyFill="1" applyBorder="1" applyAlignment="1">
      <alignment horizontal="center" vertical="center"/>
    </xf>
    <xf numFmtId="49" fontId="32" fillId="9" borderId="0" xfId="0" applyNumberFormat="1" applyFont="1" applyFill="1" applyBorder="1" applyAlignment="1">
      <alignment horizontal="center" vertical="center"/>
    </xf>
    <xf numFmtId="49" fontId="32" fillId="9" borderId="10" xfId="0" applyNumberFormat="1" applyFont="1" applyFill="1" applyBorder="1" applyAlignment="1">
      <alignment horizontal="center" vertical="center"/>
    </xf>
    <xf numFmtId="49" fontId="30" fillId="14" borderId="23" xfId="0" applyNumberFormat="1" applyFont="1" applyFill="1" applyBorder="1" applyAlignment="1">
      <alignment horizontal="center" vertical="center"/>
    </xf>
    <xf numFmtId="49" fontId="30" fillId="14" borderId="22" xfId="0" applyNumberFormat="1" applyFont="1" applyFill="1" applyBorder="1" applyAlignment="1">
      <alignment horizontal="center" vertical="center"/>
    </xf>
    <xf numFmtId="49" fontId="30" fillId="9" borderId="14" xfId="0" applyNumberFormat="1" applyFont="1" applyFill="1" applyBorder="1" applyAlignment="1">
      <alignment horizontal="center" vertical="center"/>
    </xf>
    <xf numFmtId="49" fontId="32" fillId="9" borderId="14" xfId="0" applyNumberFormat="1" applyFont="1" applyFill="1" applyBorder="1" applyAlignment="1">
      <alignment horizontal="center" vertical="center" wrapText="1"/>
    </xf>
    <xf numFmtId="49" fontId="32" fillId="9" borderId="14" xfId="0" applyNumberFormat="1" applyFont="1" applyFill="1" applyBorder="1" applyAlignment="1">
      <alignment horizontal="center" wrapText="1"/>
    </xf>
    <xf numFmtId="49" fontId="32" fillId="9" borderId="24" xfId="0" applyNumberFormat="1" applyFont="1" applyFill="1" applyBorder="1" applyAlignment="1">
      <alignment horizontal="center" wrapText="1"/>
    </xf>
    <xf numFmtId="0" fontId="1" fillId="9" borderId="0" xfId="0" applyFont="1" applyFill="1" applyAlignment="1"/>
    <xf numFmtId="180" fontId="1" fillId="9" borderId="0" xfId="0" applyNumberFormat="1" applyFont="1" applyFill="1" applyAlignment="1"/>
    <xf numFmtId="0" fontId="1" fillId="9" borderId="25" xfId="0" applyFont="1" applyFill="1" applyBorder="1" applyAlignment="1"/>
    <xf numFmtId="0" fontId="0" fillId="7" borderId="0" xfId="0" applyNumberFormat="1" applyFont="1" applyFill="1" applyAlignment="1"/>
    <xf numFmtId="180" fontId="0" fillId="7" borderId="0" xfId="0" applyNumberFormat="1" applyFont="1" applyFill="1" applyAlignment="1"/>
    <xf numFmtId="180" fontId="0" fillId="0" borderId="0" xfId="0" applyNumberFormat="1" applyFont="1" applyAlignment="1"/>
    <xf numFmtId="181" fontId="0" fillId="0" borderId="0" xfId="0" applyNumberFormat="1" applyFont="1" applyAlignment="1"/>
    <xf numFmtId="0" fontId="3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49" fontId="22" fillId="11" borderId="18" xfId="0" applyNumberFormat="1" applyFont="1" applyFill="1" applyBorder="1" applyAlignment="1">
      <alignment horizontal="center" vertical="center" wrapText="1"/>
    </xf>
    <xf numFmtId="181" fontId="22" fillId="11" borderId="18" xfId="0" applyNumberFormat="1" applyFont="1" applyFill="1" applyBorder="1" applyAlignment="1">
      <alignment horizontal="center" vertical="center" wrapText="1"/>
    </xf>
    <xf numFmtId="49" fontId="22" fillId="15" borderId="18" xfId="0" applyNumberFormat="1" applyFont="1" applyFill="1" applyBorder="1" applyAlignment="1">
      <alignment horizontal="center" vertical="center" wrapText="1"/>
    </xf>
    <xf numFmtId="180" fontId="0" fillId="15" borderId="18" xfId="0" applyNumberFormat="1" applyFont="1" applyFill="1" applyBorder="1" applyAlignment="1">
      <alignment horizontal="center" vertical="center" wrapText="1"/>
    </xf>
    <xf numFmtId="181" fontId="22" fillId="15" borderId="18" xfId="0" applyNumberFormat="1" applyFont="1" applyFill="1" applyBorder="1" applyAlignment="1">
      <alignment horizontal="center" vertical="center" wrapText="1"/>
    </xf>
    <xf numFmtId="182" fontId="22" fillId="15" borderId="18" xfId="0" applyNumberFormat="1" applyFont="1" applyFill="1" applyBorder="1" applyAlignment="1">
      <alignment horizontal="center" vertical="center" wrapText="1"/>
    </xf>
    <xf numFmtId="180" fontId="35" fillId="15" borderId="18" xfId="0" applyNumberFormat="1" applyFont="1" applyFill="1" applyBorder="1" applyAlignment="1">
      <alignment horizontal="center" vertical="center" wrapText="1"/>
    </xf>
    <xf numFmtId="49" fontId="36" fillId="11" borderId="18" xfId="0" applyNumberFormat="1" applyFont="1" applyFill="1" applyBorder="1" applyAlignment="1">
      <alignment horizontal="center" vertical="center" wrapText="1"/>
    </xf>
    <xf numFmtId="49" fontId="22" fillId="16" borderId="18" xfId="0" applyNumberFormat="1" applyFont="1" applyFill="1" applyBorder="1" applyAlignment="1">
      <alignment horizontal="center" vertical="center" wrapText="1"/>
    </xf>
    <xf numFmtId="180" fontId="35" fillId="16" borderId="18" xfId="0" applyNumberFormat="1" applyFont="1" applyFill="1" applyBorder="1" applyAlignment="1">
      <alignment horizontal="center" vertical="center" wrapText="1"/>
    </xf>
    <xf numFmtId="180" fontId="0" fillId="16" borderId="18" xfId="0" applyNumberFormat="1" applyFont="1" applyFill="1" applyBorder="1" applyAlignment="1">
      <alignment horizontal="center" vertical="center" wrapText="1"/>
    </xf>
    <xf numFmtId="181" fontId="22" fillId="16" borderId="18" xfId="0" applyNumberFormat="1" applyFont="1" applyFill="1" applyBorder="1" applyAlignment="1">
      <alignment horizontal="center" vertical="center" wrapText="1"/>
    </xf>
    <xf numFmtId="182" fontId="22" fillId="16" borderId="18" xfId="0" applyNumberFormat="1" applyFont="1" applyFill="1" applyBorder="1" applyAlignment="1">
      <alignment horizontal="center" vertical="center" wrapText="1"/>
    </xf>
    <xf numFmtId="0" fontId="37" fillId="8" borderId="10" xfId="0" applyFont="1" applyFill="1" applyBorder="1" applyAlignment="1">
      <alignment horizontal="center" vertical="center" wrapText="1"/>
    </xf>
    <xf numFmtId="0" fontId="38" fillId="9" borderId="26" xfId="0" applyFont="1" applyFill="1" applyBorder="1" applyAlignment="1">
      <alignment horizontal="center" vertical="center" wrapText="1"/>
    </xf>
    <xf numFmtId="0" fontId="38" fillId="9" borderId="27" xfId="0" applyFont="1" applyFill="1" applyBorder="1" applyAlignment="1">
      <alignment horizontal="center" vertical="center" wrapText="1"/>
    </xf>
    <xf numFmtId="180" fontId="38" fillId="9" borderId="27" xfId="0" applyNumberFormat="1" applyFont="1" applyFill="1" applyBorder="1" applyAlignment="1">
      <alignment horizontal="center" vertical="center" wrapText="1"/>
    </xf>
    <xf numFmtId="181" fontId="38" fillId="9" borderId="27" xfId="0" applyNumberFormat="1" applyFont="1" applyFill="1" applyBorder="1" applyAlignment="1">
      <alignment horizontal="center" vertical="center" wrapText="1"/>
    </xf>
    <xf numFmtId="0" fontId="38" fillId="9" borderId="28" xfId="0" applyFont="1" applyFill="1" applyBorder="1" applyAlignment="1">
      <alignment horizontal="center" vertical="center" wrapText="1"/>
    </xf>
    <xf numFmtId="184" fontId="39" fillId="8" borderId="10" xfId="0" applyNumberFormat="1" applyFont="1" applyFill="1" applyBorder="1" applyAlignment="1">
      <alignment horizontal="center" vertical="center"/>
    </xf>
    <xf numFmtId="185" fontId="30" fillId="9" borderId="29" xfId="0" applyNumberFormat="1" applyFont="1" applyFill="1" applyBorder="1" applyAlignment="1">
      <alignment horizontal="center" vertical="center"/>
    </xf>
    <xf numFmtId="0" fontId="1" fillId="9" borderId="30" xfId="0" applyFont="1" applyFill="1" applyBorder="1" applyAlignment="1"/>
    <xf numFmtId="180" fontId="1" fillId="9" borderId="30" xfId="0" applyNumberFormat="1" applyFont="1" applyFill="1" applyBorder="1" applyAlignment="1"/>
    <xf numFmtId="181" fontId="1" fillId="9" borderId="30" xfId="0" applyNumberFormat="1" applyFont="1" applyFill="1" applyBorder="1" applyAlignment="1"/>
    <xf numFmtId="0" fontId="1" fillId="9" borderId="31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100"/>
      <rgbColor rgb="00FFFFFF"/>
      <rgbColor rgb="00ED7D31"/>
      <rgbColor rgb="00F2F2F2"/>
      <rgbColor rgb="00F3F3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1A44E2"/>
      <color rgb="001B46E9"/>
      <color rgb="000070C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'1.0' encoding='utf-8'?>
<ns0:Relationships xmlns:ns0="http://schemas.openxmlformats.org/package/2006/relationships"><ns0:Relationship Id="rId9" Type="http://www.wps.cn/officeDocument/2020/cellImage" Target="cellimages.xml" /><ns0:Relationship Id="rId8" Type="http://schemas.openxmlformats.org/officeDocument/2006/relationships/sharedStrings" Target="sharedStrings.xml" /><ns0:Relationship Id="rId7" Type="http://schemas.openxmlformats.org/officeDocument/2006/relationships/theme" Target="theme/theme1.xml" /><ns0:Relationship Id="rId10" Type="http://schemas.openxmlformats.org/officeDocument/2006/relationships/styles" Target="styles.xml" /><ns0:Relationship Id="rId1" Type="http://schemas.openxmlformats.org/officeDocument/2006/relationships/worksheet" Target="worksheets/sheet1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55880</xdr:colOff>
      <xdr:row>2</xdr:row>
      <xdr:rowOff>90170</xdr:rowOff>
    </xdr:from>
    <xdr:to>
      <xdr:col>2</xdr:col>
      <xdr:colOff>1596390</xdr:colOff>
      <xdr:row>3</xdr:row>
      <xdr:rowOff>217170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545" y="1023620"/>
          <a:ext cx="2205355" cy="95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55880</xdr:colOff>
      <xdr:row>2</xdr:row>
      <xdr:rowOff>90170</xdr:rowOff>
    </xdr:from>
    <xdr:to>
      <xdr:col>2</xdr:col>
      <xdr:colOff>1425575</xdr:colOff>
      <xdr:row>2</xdr:row>
      <xdr:rowOff>1042670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120" y="1023620"/>
          <a:ext cx="2205355" cy="95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704020202020204"/>
            <a:ea typeface="Arial" panose="020B0704020202020204"/>
            <a:cs typeface="Arial" panose="020B0704020202020204"/>
            <a:sym typeface="Arial" panose="020B07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704020202020204"/>
            <a:ea typeface="Arial" panose="020B0704020202020204"/>
            <a:cs typeface="Arial" panose="020B0704020202020204"/>
            <a:sym typeface="Arial" panose="020B07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J172"/>
  <sheetViews>
    <sheetView showGridLines="0" zoomScale="87" zoomScaleNormal="87" topLeftCell="A105" workbookViewId="0">
      <selection activeCell="K156" sqref="K156"/>
    </sheetView>
  </sheetViews>
  <sheetFormatPr defaultColWidth="12.6696428571429" defaultRowHeight="15.75" customHeight="1"/>
  <cols>
    <col min="1" max="1" width="5.16964285714286" style="79" customWidth="1"/>
    <col min="2" max="2" width="9.34821428571429" style="79" customWidth="1"/>
    <col min="3" max="3" width="60.0625" style="79" customWidth="1"/>
    <col min="4" max="4" width="12.3482142857143" style="169" customWidth="1"/>
    <col min="5" max="5" width="15.8482142857143" style="170" customWidth="1"/>
    <col min="6" max="6" width="15.8482142857143" style="79" customWidth="1"/>
    <col min="7" max="7" width="23.3482142857143" style="79" customWidth="1"/>
    <col min="8" max="8" width="27.1696428571429" style="79" customWidth="1"/>
    <col min="9" max="16383" width="12.6696428571429" style="79" customWidth="1"/>
    <col min="16384" max="16384" width="12.6696428571429" style="79"/>
  </cols>
  <sheetData>
    <row r="1" ht="48.75" customHeight="1" spans="1:10">
      <c r="A1" s="82"/>
      <c r="B1" s="83"/>
      <c r="C1" s="84"/>
      <c r="D1" s="85"/>
      <c r="E1" s="86"/>
      <c r="F1" s="84"/>
      <c r="G1" s="84"/>
      <c r="H1" s="87"/>
    </row>
    <row r="2" ht="24.75" customHeight="1" spans="1:10">
      <c r="A2" s="88"/>
      <c r="B2" s="89"/>
      <c r="C2" s="90"/>
      <c r="D2" s="91"/>
      <c r="E2" s="92"/>
      <c r="F2" s="90"/>
      <c r="G2" s="90"/>
      <c r="H2" s="93"/>
    </row>
    <row r="3" ht="65" customHeight="1" spans="1:10">
      <c r="A3" s="94"/>
      <c r="B3" s="95"/>
      <c r="C3" s="90"/>
      <c r="D3" s="91"/>
      <c r="E3" s="96" t="s">
        <v>0</v>
      </c>
      <c r="F3" s="97"/>
      <c r="G3" s="97"/>
      <c r="H3" s="98"/>
    </row>
    <row r="4" ht="93" customHeight="1" spans="1:10">
      <c r="A4" s="94"/>
      <c r="B4" s="99" t="s">
        <v>1</v>
      </c>
      <c r="C4" s="90"/>
      <c r="D4" s="91"/>
      <c r="E4" s="100"/>
      <c r="F4" s="90"/>
      <c r="G4" s="90"/>
      <c r="H4" s="93"/>
    </row>
    <row r="5" ht="25.5" customHeight="1" spans="1:10">
      <c r="A5" s="101"/>
      <c r="B5" s="102"/>
      <c r="C5" s="103"/>
      <c r="D5" s="104"/>
      <c r="E5" s="92"/>
      <c r="F5" s="90"/>
      <c r="G5" s="90"/>
      <c r="H5" s="93"/>
    </row>
    <row r="6" ht="23.25" customHeight="1" spans="1:10">
      <c r="A6" s="94"/>
      <c r="B6" s="105" t="s">
        <v>2</v>
      </c>
      <c r="C6" s="90"/>
      <c r="D6" s="91"/>
      <c r="E6" s="106"/>
      <c r="F6" s="90"/>
      <c r="G6" s="90"/>
      <c r="H6" s="93"/>
      <c r="J6" s="107"/>
    </row>
    <row r="7" ht="84" customHeight="1" spans="1:10">
      <c r="A7" s="94"/>
      <c r="B7" s="105" t="s">
        <v>3</v>
      </c>
      <c r="C7" s="90"/>
      <c r="D7" s="91"/>
      <c r="E7" s="108"/>
      <c r="F7" s="109"/>
      <c r="G7" s="109"/>
      <c r="H7" s="110"/>
    </row>
    <row r="8" ht="24.75" customHeight="1" spans="1:10">
      <c r="A8" s="94"/>
      <c r="B8" s="111" t="s">
        <v>4</v>
      </c>
      <c r="C8" s="90"/>
      <c r="D8" s="91"/>
      <c r="E8" s="92"/>
      <c r="F8" s="90"/>
      <c r="G8" s="90"/>
      <c r="H8" s="93"/>
    </row>
    <row r="9" ht="27" customHeight="1" spans="1:10">
      <c r="A9" s="112"/>
      <c r="B9" s="113"/>
      <c r="C9" s="114"/>
      <c r="D9" s="115"/>
      <c r="E9" s="116"/>
      <c r="F9" s="114"/>
      <c r="G9" s="114"/>
      <c r="H9" s="117"/>
    </row>
    <row r="10" ht="27.75" customHeight="1" spans="1:10">
      <c r="A10" s="94"/>
      <c r="B10" s="118" t="s">
        <v>5</v>
      </c>
      <c r="C10" s="119" t="s">
        <v>6</v>
      </c>
      <c r="D10" s="119" t="s">
        <v>7</v>
      </c>
      <c r="E10" s="120" t="s">
        <v>8</v>
      </c>
      <c r="F10" s="118" t="s">
        <v>9</v>
      </c>
      <c r="G10" s="120" t="s">
        <v>10</v>
      </c>
      <c r="H10" s="118" t="s">
        <v>11</v>
      </c>
    </row>
    <row r="11" s="80" customFormat="1" ht="18" customHeight="1" spans="1:10">
      <c r="A11" s="94"/>
      <c r="B11" s="121" t="s">
        <v>12</v>
      </c>
      <c r="C11" s="122"/>
      <c r="D11" s="122"/>
      <c r="E11" s="123"/>
      <c r="F11" s="121"/>
      <c r="G11" s="123"/>
      <c r="H11" s="121"/>
    </row>
    <row r="12" s="80" customFormat="1" ht="18" customHeight="1" spans="1:10">
      <c r="A12" s="94"/>
      <c r="B12" s="124" t="s">
        <v>13</v>
      </c>
      <c r="C12" s="125" t="s">
        <v>14</v>
      </c>
      <c r="D12" s="125">
        <v>209</v>
      </c>
      <c r="E12" s="126">
        <v>0.85</v>
      </c>
      <c r="F12" s="124">
        <v>5.06</v>
      </c>
      <c r="G12" s="126">
        <f>E12+F12</f>
        <v>5.91</v>
      </c>
      <c r="H12" s="127">
        <f>G12*D12</f>
        <v>1235.19</v>
      </c>
    </row>
    <row r="13" s="80" customFormat="1" ht="18" customHeight="1" spans="1:10">
      <c r="A13" s="94"/>
      <c r="B13" s="124" t="s">
        <v>15</v>
      </c>
      <c r="C13" s="125" t="s">
        <v>16</v>
      </c>
      <c r="D13" s="125">
        <v>7</v>
      </c>
      <c r="E13" s="126">
        <v>1.7</v>
      </c>
      <c r="F13" s="124">
        <v>8.07</v>
      </c>
      <c r="G13" s="126">
        <f t="shared" ref="G13:G37" si="0">E13+F13</f>
        <v>9.77</v>
      </c>
      <c r="H13" s="127">
        <f t="shared" ref="H13:H38" si="1">G13*D13</f>
        <v>68.39</v>
      </c>
    </row>
    <row r="14" s="80" customFormat="1" ht="18" customHeight="1" spans="1:10">
      <c r="A14" s="94"/>
      <c r="B14" s="124" t="s">
        <v>17</v>
      </c>
      <c r="C14" s="125" t="s">
        <v>18</v>
      </c>
      <c r="D14" s="125">
        <v>114</v>
      </c>
      <c r="E14" s="126">
        <v>2.55</v>
      </c>
      <c r="F14" s="124">
        <v>11.01</v>
      </c>
      <c r="G14" s="126">
        <f t="shared" si="0"/>
        <v>13.56</v>
      </c>
      <c r="H14" s="127">
        <f t="shared" si="1"/>
        <v>1545.84</v>
      </c>
    </row>
    <row r="15" s="80" customFormat="1" ht="18" customHeight="1" spans="1:10">
      <c r="A15" s="94"/>
      <c r="B15" s="124" t="s">
        <v>19</v>
      </c>
      <c r="C15" s="125" t="s">
        <v>20</v>
      </c>
      <c r="D15" s="125">
        <v>1</v>
      </c>
      <c r="E15" s="126">
        <v>3.4</v>
      </c>
      <c r="F15" s="124">
        <v>13.93</v>
      </c>
      <c r="G15" s="126">
        <f t="shared" si="0"/>
        <v>17.33</v>
      </c>
      <c r="H15" s="127">
        <f t="shared" si="1"/>
        <v>17.33</v>
      </c>
    </row>
    <row r="16" s="80" customFormat="1" ht="18" customHeight="1" spans="1:10">
      <c r="A16" s="94"/>
      <c r="B16" s="124" t="s">
        <v>21</v>
      </c>
      <c r="C16" s="125" t="s">
        <v>22</v>
      </c>
      <c r="D16" s="125"/>
      <c r="E16" s="126">
        <v>4.25</v>
      </c>
      <c r="F16" s="124">
        <v>17.78</v>
      </c>
      <c r="G16" s="126">
        <f t="shared" si="0"/>
        <v>22.03</v>
      </c>
      <c r="H16" s="127">
        <f t="shared" si="1"/>
        <v>0</v>
      </c>
    </row>
    <row r="17" s="80" customFormat="1" ht="18" customHeight="1" spans="1:8">
      <c r="A17" s="94"/>
      <c r="B17" s="124" t="s">
        <v>23</v>
      </c>
      <c r="C17" s="125" t="s">
        <v>24</v>
      </c>
      <c r="D17" s="125"/>
      <c r="E17" s="126">
        <v>5.1</v>
      </c>
      <c r="F17" s="124">
        <v>20.92</v>
      </c>
      <c r="G17" s="126">
        <f t="shared" si="0"/>
        <v>26.02</v>
      </c>
      <c r="H17" s="127">
        <f t="shared" si="1"/>
        <v>0</v>
      </c>
    </row>
    <row r="18" s="80" customFormat="1" ht="18" customHeight="1" spans="1:8">
      <c r="A18" s="94"/>
      <c r="B18" s="124" t="s">
        <v>25</v>
      </c>
      <c r="C18" s="125" t="s">
        <v>26</v>
      </c>
      <c r="D18" s="125"/>
      <c r="E18" s="126">
        <v>5.95</v>
      </c>
      <c r="F18" s="124">
        <v>24.05</v>
      </c>
      <c r="G18" s="126">
        <f t="shared" si="0"/>
        <v>30</v>
      </c>
      <c r="H18" s="127">
        <f t="shared" si="1"/>
        <v>0</v>
      </c>
    </row>
    <row r="19" s="80" customFormat="1" ht="18" customHeight="1" spans="1:8">
      <c r="A19" s="94"/>
      <c r="B19" s="124" t="s">
        <v>27</v>
      </c>
      <c r="C19" s="125" t="s">
        <v>28</v>
      </c>
      <c r="D19" s="125"/>
      <c r="E19" s="126">
        <v>6.8</v>
      </c>
      <c r="F19" s="124" t="s">
        <v>29</v>
      </c>
      <c r="G19" s="126">
        <f t="shared" si="0"/>
        <v>33.99</v>
      </c>
      <c r="H19" s="127">
        <f t="shared" si="1"/>
        <v>0</v>
      </c>
    </row>
    <row r="20" s="80" customFormat="1" ht="18" customHeight="1" spans="1:8">
      <c r="A20" s="94"/>
      <c r="B20" s="124" t="s">
        <v>30</v>
      </c>
      <c r="C20" s="125" t="s">
        <v>31</v>
      </c>
      <c r="D20" s="125"/>
      <c r="E20" s="126" t="s">
        <v>32</v>
      </c>
      <c r="F20" s="124">
        <v>30.32</v>
      </c>
      <c r="G20" s="126">
        <f t="shared" si="0"/>
        <v>37.97</v>
      </c>
      <c r="H20" s="127">
        <f t="shared" si="1"/>
        <v>0</v>
      </c>
    </row>
    <row r="21" s="80" customFormat="1" ht="18" customHeight="1" spans="1:8">
      <c r="A21" s="94"/>
      <c r="B21" s="124" t="s">
        <v>33</v>
      </c>
      <c r="C21" s="125" t="s">
        <v>34</v>
      </c>
      <c r="D21" s="125"/>
      <c r="E21" s="126">
        <v>8.5</v>
      </c>
      <c r="F21" s="124">
        <v>33.46</v>
      </c>
      <c r="G21" s="126">
        <f t="shared" si="0"/>
        <v>41.96</v>
      </c>
      <c r="H21" s="127">
        <f t="shared" si="1"/>
        <v>0</v>
      </c>
    </row>
    <row r="22" s="80" customFormat="1" ht="18" customHeight="1" spans="1:8">
      <c r="A22" s="94"/>
      <c r="B22" s="124" t="s">
        <v>35</v>
      </c>
      <c r="C22" s="125" t="s">
        <v>36</v>
      </c>
      <c r="D22" s="125"/>
      <c r="E22" s="126">
        <v>11.3</v>
      </c>
      <c r="F22" s="124">
        <v>34.48</v>
      </c>
      <c r="G22" s="126">
        <f t="shared" si="0"/>
        <v>45.78</v>
      </c>
      <c r="H22" s="127">
        <f t="shared" si="1"/>
        <v>0</v>
      </c>
    </row>
    <row r="23" s="80" customFormat="1" ht="18" customHeight="1" spans="1:8">
      <c r="A23" s="94"/>
      <c r="B23" s="124" t="s">
        <v>37</v>
      </c>
      <c r="C23" s="125" t="s">
        <v>38</v>
      </c>
      <c r="D23" s="125"/>
      <c r="E23" s="126">
        <v>12.75</v>
      </c>
      <c r="F23" s="124" t="s">
        <v>39</v>
      </c>
      <c r="G23" s="126">
        <f t="shared" si="0"/>
        <v>51.57</v>
      </c>
      <c r="H23" s="127">
        <f t="shared" si="1"/>
        <v>0</v>
      </c>
    </row>
    <row r="24" s="80" customFormat="1" ht="18" customHeight="1" spans="1:8">
      <c r="A24" s="94"/>
      <c r="B24" s="124" t="s">
        <v>40</v>
      </c>
      <c r="C24" s="125" t="s">
        <v>41</v>
      </c>
      <c r="D24" s="125"/>
      <c r="E24" s="126">
        <v>13.6</v>
      </c>
      <c r="F24" s="124" t="s">
        <v>42</v>
      </c>
      <c r="G24" s="126">
        <f t="shared" si="0"/>
        <v>53.95</v>
      </c>
      <c r="H24" s="127">
        <f t="shared" si="1"/>
        <v>0</v>
      </c>
    </row>
    <row r="25" s="80" customFormat="1" ht="18" customHeight="1" spans="1:8">
      <c r="A25" s="94"/>
      <c r="B25" s="124" t="s">
        <v>43</v>
      </c>
      <c r="C25" s="125" t="s">
        <v>44</v>
      </c>
      <c r="D25" s="125"/>
      <c r="E25" s="126">
        <v>17</v>
      </c>
      <c r="F25" s="124" t="s">
        <v>45</v>
      </c>
      <c r="G25" s="126">
        <f t="shared" si="0"/>
        <v>62.42</v>
      </c>
      <c r="H25" s="127">
        <f t="shared" si="1"/>
        <v>0</v>
      </c>
    </row>
    <row r="26" s="80" customFormat="1" ht="18" customHeight="1" spans="1:8">
      <c r="A26" s="94"/>
      <c r="B26" s="124" t="s">
        <v>46</v>
      </c>
      <c r="C26" s="125" t="s">
        <v>47</v>
      </c>
      <c r="D26" s="125"/>
      <c r="E26" s="126" t="s">
        <v>48</v>
      </c>
      <c r="F26" s="124" t="s">
        <v>49</v>
      </c>
      <c r="G26" s="126">
        <f t="shared" si="0"/>
        <v>64.79</v>
      </c>
      <c r="H26" s="127">
        <f t="shared" si="1"/>
        <v>0</v>
      </c>
    </row>
    <row r="27" s="80" customFormat="1" ht="18" customHeight="1" spans="1:8">
      <c r="A27" s="94"/>
      <c r="B27" s="124" t="s">
        <v>50</v>
      </c>
      <c r="C27" s="125" t="s">
        <v>51</v>
      </c>
      <c r="D27" s="125"/>
      <c r="E27" s="126">
        <v>20.4</v>
      </c>
      <c r="F27" s="124" t="s">
        <v>52</v>
      </c>
      <c r="G27" s="126">
        <f t="shared" si="0"/>
        <v>69.9</v>
      </c>
      <c r="H27" s="127">
        <f t="shared" si="1"/>
        <v>0</v>
      </c>
    </row>
    <row r="28" s="80" customFormat="1" ht="18" customHeight="1" spans="1:8">
      <c r="A28" s="94"/>
      <c r="B28" s="124" t="s">
        <v>53</v>
      </c>
      <c r="C28" s="125" t="s">
        <v>54</v>
      </c>
      <c r="D28" s="125"/>
      <c r="E28" s="126">
        <v>40.8</v>
      </c>
      <c r="F28" s="124" t="s">
        <v>55</v>
      </c>
      <c r="G28" s="126">
        <f t="shared" si="0"/>
        <v>113.8</v>
      </c>
      <c r="H28" s="127">
        <f t="shared" si="1"/>
        <v>0</v>
      </c>
    </row>
    <row r="29" s="80" customFormat="1" ht="18" customHeight="1" spans="1:8">
      <c r="A29" s="94"/>
      <c r="B29" s="124" t="s">
        <v>56</v>
      </c>
      <c r="C29" s="125" t="s">
        <v>57</v>
      </c>
      <c r="D29" s="125">
        <v>59</v>
      </c>
      <c r="E29" s="126">
        <v>0.24</v>
      </c>
      <c r="F29" s="124">
        <v>5.06</v>
      </c>
      <c r="G29" s="126">
        <f t="shared" si="0"/>
        <v>5.3</v>
      </c>
      <c r="H29" s="127">
        <f t="shared" si="1"/>
        <v>312.7</v>
      </c>
    </row>
    <row r="30" s="80" customFormat="1" ht="18" customHeight="1" spans="1:8">
      <c r="A30" s="94"/>
      <c r="B30" s="124" t="s">
        <v>58</v>
      </c>
      <c r="C30" s="125" t="s">
        <v>59</v>
      </c>
      <c r="D30" s="125">
        <v>2</v>
      </c>
      <c r="E30" s="126">
        <v>1.97</v>
      </c>
      <c r="F30" s="126">
        <v>9.04</v>
      </c>
      <c r="G30" s="126">
        <f t="shared" si="0"/>
        <v>11.01</v>
      </c>
      <c r="H30" s="127">
        <f t="shared" si="1"/>
        <v>22.02</v>
      </c>
    </row>
    <row r="31" s="80" customFormat="1" ht="18" customHeight="1" spans="1:8">
      <c r="A31" s="94"/>
      <c r="B31" s="124" t="s">
        <v>60</v>
      </c>
      <c r="C31" s="125" t="s">
        <v>61</v>
      </c>
      <c r="D31" s="125"/>
      <c r="E31" s="126">
        <v>0.16</v>
      </c>
      <c r="F31" s="126">
        <v>4.79</v>
      </c>
      <c r="G31" s="126">
        <f t="shared" si="0"/>
        <v>4.95</v>
      </c>
      <c r="H31" s="127">
        <f t="shared" si="1"/>
        <v>0</v>
      </c>
    </row>
    <row r="32" s="80" customFormat="1" ht="18" customHeight="1" spans="1:8">
      <c r="A32" s="94"/>
      <c r="B32" s="124" t="s">
        <v>62</v>
      </c>
      <c r="C32" s="125" t="s">
        <v>63</v>
      </c>
      <c r="D32" s="125"/>
      <c r="E32" s="126">
        <v>0.24</v>
      </c>
      <c r="F32" s="126">
        <v>4.79</v>
      </c>
      <c r="G32" s="126">
        <f t="shared" si="0"/>
        <v>5.03</v>
      </c>
      <c r="H32" s="127">
        <f t="shared" si="1"/>
        <v>0</v>
      </c>
    </row>
    <row r="33" s="80" customFormat="1" ht="18" customHeight="1" spans="1:8">
      <c r="A33" s="94"/>
      <c r="B33" s="124" t="s">
        <v>64</v>
      </c>
      <c r="C33" s="125" t="s">
        <v>65</v>
      </c>
      <c r="D33" s="125"/>
      <c r="E33" s="126">
        <v>0.48</v>
      </c>
      <c r="F33" s="126">
        <v>4.79</v>
      </c>
      <c r="G33" s="126">
        <f t="shared" si="0"/>
        <v>5.27</v>
      </c>
      <c r="H33" s="127">
        <f t="shared" si="1"/>
        <v>0</v>
      </c>
    </row>
    <row r="34" s="80" customFormat="1" ht="18" customHeight="1" spans="1:8">
      <c r="A34" s="94"/>
      <c r="B34" s="124" t="s">
        <v>66</v>
      </c>
      <c r="C34" s="125" t="s">
        <v>67</v>
      </c>
      <c r="D34" s="125">
        <v>201</v>
      </c>
      <c r="E34" s="126">
        <v>2.06</v>
      </c>
      <c r="F34" s="124"/>
      <c r="G34" s="126">
        <f t="shared" si="0"/>
        <v>2.06</v>
      </c>
      <c r="H34" s="127">
        <f t="shared" si="1"/>
        <v>414.06</v>
      </c>
    </row>
    <row r="35" s="80" customFormat="1" ht="18" customHeight="1" spans="1:8">
      <c r="A35" s="94"/>
      <c r="B35" s="124" t="s">
        <v>68</v>
      </c>
      <c r="C35" s="125" t="s">
        <v>69</v>
      </c>
      <c r="D35" s="125">
        <v>9</v>
      </c>
      <c r="E35" s="126">
        <v>6.97</v>
      </c>
      <c r="F35" s="124"/>
      <c r="G35" s="126">
        <f t="shared" si="0"/>
        <v>6.97</v>
      </c>
      <c r="H35" s="127">
        <f t="shared" si="1"/>
        <v>62.73</v>
      </c>
    </row>
    <row r="36" s="80" customFormat="1" ht="18" customHeight="1" spans="1:8">
      <c r="A36" s="94"/>
      <c r="B36" s="124" t="s">
        <v>70</v>
      </c>
      <c r="C36" s="125" t="s">
        <v>71</v>
      </c>
      <c r="D36" s="125">
        <v>106</v>
      </c>
      <c r="E36" s="126">
        <v>0.76</v>
      </c>
      <c r="F36" s="124"/>
      <c r="G36" s="126">
        <f t="shared" si="0"/>
        <v>0.76</v>
      </c>
      <c r="H36" s="127">
        <f t="shared" si="1"/>
        <v>80.56</v>
      </c>
    </row>
    <row r="37" s="80" customFormat="1" ht="18" customHeight="1" spans="1:8">
      <c r="A37" s="94"/>
      <c r="B37" s="124" t="s">
        <v>72</v>
      </c>
      <c r="C37" s="125" t="s">
        <v>73</v>
      </c>
      <c r="D37" s="125">
        <v>264</v>
      </c>
      <c r="E37" s="126">
        <v>1.49</v>
      </c>
      <c r="F37" s="124"/>
      <c r="G37" s="126">
        <f t="shared" si="0"/>
        <v>1.49</v>
      </c>
      <c r="H37" s="127">
        <f t="shared" si="1"/>
        <v>393.36</v>
      </c>
    </row>
    <row r="38" s="80" customFormat="1" ht="18" customHeight="1" spans="1:8">
      <c r="A38" s="94"/>
      <c r="B38" s="124" t="s">
        <v>74</v>
      </c>
      <c r="C38" s="125" t="s">
        <v>75</v>
      </c>
      <c r="D38" s="125">
        <v>122</v>
      </c>
      <c r="E38" s="126">
        <v>2.98</v>
      </c>
      <c r="F38" s="124"/>
      <c r="G38" s="126">
        <f>E38+F38</f>
        <v>2.98</v>
      </c>
      <c r="H38" s="127">
        <f t="shared" si="1"/>
        <v>363.56</v>
      </c>
    </row>
    <row r="39" s="80" customFormat="1" ht="18" customHeight="1" spans="1:8">
      <c r="A39" s="94"/>
      <c r="B39" s="124" t="s">
        <v>76</v>
      </c>
      <c r="C39" s="125" t="s">
        <v>77</v>
      </c>
      <c r="D39" s="125">
        <v>23</v>
      </c>
      <c r="E39" s="126">
        <v>0.25</v>
      </c>
      <c r="F39" s="124"/>
      <c r="G39" s="126">
        <f>E39+F39</f>
        <v>0.25</v>
      </c>
      <c r="H39" s="127">
        <f>G39*D39</f>
        <v>5.75</v>
      </c>
    </row>
    <row r="40" s="80" customFormat="1" ht="18" customHeight="1" spans="1:8">
      <c r="A40" s="94"/>
      <c r="B40" s="121" t="s">
        <v>78</v>
      </c>
      <c r="C40" s="121"/>
      <c r="D40" s="121"/>
      <c r="E40" s="123"/>
      <c r="F40" s="121"/>
      <c r="G40" s="121"/>
      <c r="H40" s="121"/>
    </row>
    <row r="41" s="80" customFormat="1" ht="18" customHeight="1" spans="1:8">
      <c r="A41" s="94"/>
      <c r="B41" s="124" t="s">
        <v>13</v>
      </c>
      <c r="C41" s="125" t="s">
        <v>14</v>
      </c>
      <c r="D41" s="125">
        <v>43</v>
      </c>
      <c r="E41" s="126">
        <v>0.85</v>
      </c>
      <c r="F41" s="124">
        <v>4.64</v>
      </c>
      <c r="G41" s="126">
        <f>E41+F41</f>
        <v>5.49</v>
      </c>
      <c r="H41" s="127">
        <f>G41*D41</f>
        <v>236.07</v>
      </c>
    </row>
    <row r="42" s="80" customFormat="1" ht="18" customHeight="1" spans="1:8">
      <c r="A42" s="94"/>
      <c r="B42" s="124" t="s">
        <v>15</v>
      </c>
      <c r="C42" s="125" t="s">
        <v>16</v>
      </c>
      <c r="D42" s="125">
        <v>7</v>
      </c>
      <c r="E42" s="126">
        <v>1.7</v>
      </c>
      <c r="F42" s="124">
        <v>7.58</v>
      </c>
      <c r="G42" s="126">
        <f t="shared" ref="G42:G60" si="2">E42+F42</f>
        <v>9.28</v>
      </c>
      <c r="H42" s="127">
        <f t="shared" ref="H42:H61" si="3">G42*D42</f>
        <v>64.96</v>
      </c>
    </row>
    <row r="43" s="80" customFormat="1" ht="18" customHeight="1" spans="1:8">
      <c r="A43" s="94"/>
      <c r="B43" s="124" t="s">
        <v>17</v>
      </c>
      <c r="C43" s="125" t="s">
        <v>18</v>
      </c>
      <c r="D43" s="125">
        <v>5</v>
      </c>
      <c r="E43" s="126">
        <v>2.55</v>
      </c>
      <c r="F43" s="124">
        <v>10.52</v>
      </c>
      <c r="G43" s="126">
        <f t="shared" si="2"/>
        <v>13.07</v>
      </c>
      <c r="H43" s="127">
        <f t="shared" si="3"/>
        <v>65.35</v>
      </c>
    </row>
    <row r="44" s="80" customFormat="1" ht="18" customHeight="1" spans="1:8">
      <c r="A44" s="94"/>
      <c r="B44" s="124" t="s">
        <v>19</v>
      </c>
      <c r="C44" s="125" t="s">
        <v>20</v>
      </c>
      <c r="D44" s="125"/>
      <c r="E44" s="126">
        <v>3.4</v>
      </c>
      <c r="F44" s="124">
        <v>13.46</v>
      </c>
      <c r="G44" s="126">
        <f t="shared" si="2"/>
        <v>16.86</v>
      </c>
      <c r="H44" s="127">
        <f t="shared" si="3"/>
        <v>0</v>
      </c>
    </row>
    <row r="45" s="80" customFormat="1" ht="18" customHeight="1" spans="1:8">
      <c r="A45" s="94"/>
      <c r="B45" s="124" t="s">
        <v>21</v>
      </c>
      <c r="C45" s="125" t="s">
        <v>22</v>
      </c>
      <c r="D45" s="125"/>
      <c r="E45" s="126">
        <v>4.25</v>
      </c>
      <c r="F45" s="124">
        <v>16.41</v>
      </c>
      <c r="G45" s="126">
        <f t="shared" si="2"/>
        <v>20.66</v>
      </c>
      <c r="H45" s="127">
        <f t="shared" si="3"/>
        <v>0</v>
      </c>
    </row>
    <row r="46" s="80" customFormat="1" ht="18" customHeight="1" spans="1:8">
      <c r="A46" s="94"/>
      <c r="B46" s="124" t="s">
        <v>23</v>
      </c>
      <c r="C46" s="125" t="s">
        <v>24</v>
      </c>
      <c r="D46" s="125">
        <v>1</v>
      </c>
      <c r="E46" s="126">
        <v>5.1</v>
      </c>
      <c r="F46" s="124">
        <v>19.35</v>
      </c>
      <c r="G46" s="126">
        <f t="shared" si="2"/>
        <v>24.45</v>
      </c>
      <c r="H46" s="127">
        <f t="shared" si="3"/>
        <v>24.45</v>
      </c>
    </row>
    <row r="47" s="80" customFormat="1" ht="18" customHeight="1" spans="1:8">
      <c r="A47" s="94"/>
      <c r="B47" s="124" t="s">
        <v>25</v>
      </c>
      <c r="C47" s="125" t="s">
        <v>26</v>
      </c>
      <c r="D47" s="125"/>
      <c r="E47" s="126" t="s">
        <v>79</v>
      </c>
      <c r="F47" s="124" t="s">
        <v>80</v>
      </c>
      <c r="G47" s="126">
        <f t="shared" si="2"/>
        <v>28.24</v>
      </c>
      <c r="H47" s="127">
        <f t="shared" si="3"/>
        <v>0</v>
      </c>
    </row>
    <row r="48" s="80" customFormat="1" ht="18" customHeight="1" spans="1:8">
      <c r="A48" s="94"/>
      <c r="B48" s="124" t="s">
        <v>27</v>
      </c>
      <c r="C48" s="125" t="s">
        <v>28</v>
      </c>
      <c r="D48" s="125"/>
      <c r="E48" s="126" t="s">
        <v>81</v>
      </c>
      <c r="F48" s="124" t="s">
        <v>82</v>
      </c>
      <c r="G48" s="126">
        <f t="shared" si="2"/>
        <v>32.03</v>
      </c>
      <c r="H48" s="127">
        <f t="shared" si="3"/>
        <v>0</v>
      </c>
    </row>
    <row r="49" s="80" customFormat="1" ht="18" customHeight="1" spans="1:8">
      <c r="A49" s="94"/>
      <c r="B49" s="124" t="s">
        <v>30</v>
      </c>
      <c r="C49" s="125" t="s">
        <v>31</v>
      </c>
      <c r="D49" s="125"/>
      <c r="E49" s="126">
        <v>7.65</v>
      </c>
      <c r="F49" s="124">
        <v>28.17</v>
      </c>
      <c r="G49" s="126">
        <f t="shared" si="2"/>
        <v>35.82</v>
      </c>
      <c r="H49" s="127">
        <f t="shared" si="3"/>
        <v>0</v>
      </c>
    </row>
    <row r="50" s="80" customFormat="1" ht="18" customHeight="1" spans="1:8">
      <c r="A50" s="94"/>
      <c r="B50" s="124" t="s">
        <v>33</v>
      </c>
      <c r="C50" s="125" t="s">
        <v>36</v>
      </c>
      <c r="D50" s="125"/>
      <c r="E50" s="126" t="s">
        <v>83</v>
      </c>
      <c r="F50" s="124" t="s">
        <v>84</v>
      </c>
      <c r="G50" s="126">
        <f t="shared" si="2"/>
        <v>46.53</v>
      </c>
      <c r="H50" s="127">
        <f t="shared" si="3"/>
        <v>0</v>
      </c>
    </row>
    <row r="51" s="80" customFormat="1" ht="18" customHeight="1" spans="1:8">
      <c r="A51" s="94"/>
      <c r="B51" s="124" t="s">
        <v>35</v>
      </c>
      <c r="C51" s="125" t="s">
        <v>57</v>
      </c>
      <c r="D51" s="125"/>
      <c r="E51" s="126">
        <v>0.24</v>
      </c>
      <c r="F51" s="124">
        <v>4.64</v>
      </c>
      <c r="G51" s="126">
        <f t="shared" si="2"/>
        <v>4.88</v>
      </c>
      <c r="H51" s="127">
        <f t="shared" si="3"/>
        <v>0</v>
      </c>
    </row>
    <row r="52" s="80" customFormat="1" ht="18" customHeight="1" spans="1:8">
      <c r="A52" s="94"/>
      <c r="B52" s="124" t="s">
        <v>37</v>
      </c>
      <c r="C52" s="125" t="s">
        <v>59</v>
      </c>
      <c r="D52" s="125">
        <v>2</v>
      </c>
      <c r="E52" s="126">
        <v>1.97</v>
      </c>
      <c r="F52" s="124" t="s">
        <v>85</v>
      </c>
      <c r="G52" s="126">
        <f>E52+F52</f>
        <v>11.22</v>
      </c>
      <c r="H52" s="127">
        <f>G52*D52</f>
        <v>22.44</v>
      </c>
    </row>
    <row r="53" s="80" customFormat="1" ht="18" customHeight="1" spans="1:8">
      <c r="A53" s="94"/>
      <c r="B53" s="124" t="s">
        <v>40</v>
      </c>
      <c r="C53" s="125" t="s">
        <v>61</v>
      </c>
      <c r="D53" s="125"/>
      <c r="E53" s="126">
        <v>0.16</v>
      </c>
      <c r="F53" s="124" t="s">
        <v>86</v>
      </c>
      <c r="G53" s="126">
        <f>E53+F53</f>
        <v>3.6</v>
      </c>
      <c r="H53" s="127">
        <f>G53*D53</f>
        <v>0</v>
      </c>
    </row>
    <row r="54" s="80" customFormat="1" ht="18" customHeight="1" spans="1:8">
      <c r="A54" s="94"/>
      <c r="B54" s="124" t="s">
        <v>43</v>
      </c>
      <c r="C54" s="125" t="s">
        <v>87</v>
      </c>
      <c r="D54" s="125"/>
      <c r="E54" s="126">
        <v>0.24</v>
      </c>
      <c r="F54" s="124" t="s">
        <v>88</v>
      </c>
      <c r="G54" s="126">
        <f>E54+F54</f>
        <v>4.74</v>
      </c>
      <c r="H54" s="127">
        <f>G54*D54</f>
        <v>0</v>
      </c>
    </row>
    <row r="55" s="80" customFormat="1" ht="18" customHeight="1" spans="1:8">
      <c r="A55" s="94"/>
      <c r="B55" s="124" t="s">
        <v>46</v>
      </c>
      <c r="C55" s="125" t="s">
        <v>89</v>
      </c>
      <c r="D55" s="125"/>
      <c r="E55" s="126">
        <v>0.48</v>
      </c>
      <c r="F55" s="124" t="s">
        <v>86</v>
      </c>
      <c r="G55" s="126">
        <f>E55+F55</f>
        <v>3.92</v>
      </c>
      <c r="H55" s="127">
        <f>G55*D55</f>
        <v>0</v>
      </c>
    </row>
    <row r="56" s="80" customFormat="1" ht="18" customHeight="1" spans="1:8">
      <c r="A56" s="94"/>
      <c r="B56" s="124" t="s">
        <v>50</v>
      </c>
      <c r="C56" s="125" t="s">
        <v>67</v>
      </c>
      <c r="D56" s="125">
        <v>28</v>
      </c>
      <c r="E56" s="126">
        <v>2.21</v>
      </c>
      <c r="F56" s="124"/>
      <c r="G56" s="126">
        <f>E56+F56</f>
        <v>2.21</v>
      </c>
      <c r="H56" s="127">
        <f>G56*D56</f>
        <v>61.88</v>
      </c>
    </row>
    <row r="57" s="80" customFormat="1" ht="18" customHeight="1" spans="1:8">
      <c r="A57" s="94"/>
      <c r="B57" s="124" t="s">
        <v>53</v>
      </c>
      <c r="C57" s="125" t="s">
        <v>69</v>
      </c>
      <c r="D57" s="125">
        <v>6</v>
      </c>
      <c r="E57" s="126">
        <v>7.4</v>
      </c>
      <c r="F57" s="124"/>
      <c r="G57" s="126">
        <f>E57+F57</f>
        <v>7.4</v>
      </c>
      <c r="H57" s="127">
        <f>G57*D57</f>
        <v>44.4</v>
      </c>
    </row>
    <row r="58" s="80" customFormat="1" ht="18" customHeight="1" spans="1:8">
      <c r="A58" s="94"/>
      <c r="B58" s="124" t="s">
        <v>56</v>
      </c>
      <c r="C58" s="125" t="s">
        <v>71</v>
      </c>
      <c r="D58" s="125">
        <v>31</v>
      </c>
      <c r="E58" s="126">
        <v>0.76</v>
      </c>
      <c r="F58" s="124"/>
      <c r="G58" s="126">
        <f>E58+F58</f>
        <v>0.76</v>
      </c>
      <c r="H58" s="127">
        <f>G58*D58</f>
        <v>23.56</v>
      </c>
    </row>
    <row r="59" s="80" customFormat="1" ht="18" customHeight="1" spans="1:8">
      <c r="A59" s="94"/>
      <c r="B59" s="124" t="s">
        <v>58</v>
      </c>
      <c r="C59" s="125" t="s">
        <v>73</v>
      </c>
      <c r="D59" s="125">
        <v>29</v>
      </c>
      <c r="E59" s="126">
        <v>1.49</v>
      </c>
      <c r="F59" s="124"/>
      <c r="G59" s="126">
        <f>E59+F59</f>
        <v>1.49</v>
      </c>
      <c r="H59" s="127">
        <f>G59*D59</f>
        <v>43.21</v>
      </c>
    </row>
    <row r="60" s="80" customFormat="1" ht="18" customHeight="1" spans="1:8">
      <c r="A60" s="94"/>
      <c r="B60" s="124" t="s">
        <v>60</v>
      </c>
      <c r="C60" s="125" t="s">
        <v>75</v>
      </c>
      <c r="D60" s="125">
        <v>26</v>
      </c>
      <c r="E60" s="126">
        <v>2.98</v>
      </c>
      <c r="F60" s="124"/>
      <c r="G60" s="126">
        <f>E60+F60</f>
        <v>2.98</v>
      </c>
      <c r="H60" s="127">
        <f>G60*D60</f>
        <v>77.48</v>
      </c>
    </row>
    <row r="61" s="80" customFormat="1" ht="18" customHeight="1" spans="1:8">
      <c r="A61" s="94"/>
      <c r="B61" s="124" t="s">
        <v>62</v>
      </c>
      <c r="C61" s="125" t="s">
        <v>77</v>
      </c>
      <c r="D61" s="125">
        <v>9</v>
      </c>
      <c r="E61" s="126">
        <v>0.25</v>
      </c>
      <c r="F61" s="124"/>
      <c r="G61" s="126">
        <f>E61+F61</f>
        <v>0.25</v>
      </c>
      <c r="H61" s="127">
        <f>G61*D61</f>
        <v>2.25</v>
      </c>
    </row>
    <row r="62" s="80" customFormat="1" ht="18" customHeight="1" spans="1:8">
      <c r="A62" s="94"/>
      <c r="B62" s="121" t="s">
        <v>90</v>
      </c>
      <c r="C62" s="121"/>
      <c r="D62" s="121"/>
      <c r="E62" s="123"/>
      <c r="F62" s="121"/>
      <c r="G62" s="121"/>
      <c r="H62" s="121"/>
    </row>
    <row r="63" s="80" customFormat="1" ht="18" customHeight="1" spans="1:8">
      <c r="A63" s="94"/>
      <c r="B63" s="124" t="s">
        <v>13</v>
      </c>
      <c r="C63" s="125" t="s">
        <v>14</v>
      </c>
      <c r="D63" s="125">
        <v>12</v>
      </c>
      <c r="E63" s="126">
        <v>0.85</v>
      </c>
      <c r="F63" s="124">
        <v>5.29</v>
      </c>
      <c r="G63" s="126">
        <f t="shared" ref="G63:G76" si="4">E63+F63</f>
        <v>6.14</v>
      </c>
      <c r="H63" s="127">
        <f>G63*D63</f>
        <v>73.68</v>
      </c>
    </row>
    <row r="64" s="80" customFormat="1" ht="18" customHeight="1" spans="1:8">
      <c r="A64" s="94"/>
      <c r="B64" s="124" t="s">
        <v>15</v>
      </c>
      <c r="C64" s="125" t="s">
        <v>16</v>
      </c>
      <c r="D64" s="125"/>
      <c r="E64" s="126">
        <v>1.7</v>
      </c>
      <c r="F64" s="124">
        <v>8.37</v>
      </c>
      <c r="G64" s="126">
        <f t="shared" si="4"/>
        <v>10.07</v>
      </c>
      <c r="H64" s="127">
        <f>G64*D64</f>
        <v>0</v>
      </c>
    </row>
    <row r="65" s="80" customFormat="1" ht="18" customHeight="1" spans="1:8">
      <c r="A65" s="94"/>
      <c r="B65" s="124" t="s">
        <v>17</v>
      </c>
      <c r="C65" s="125" t="s">
        <v>18</v>
      </c>
      <c r="D65" s="125">
        <v>3</v>
      </c>
      <c r="E65" s="126">
        <v>2.55</v>
      </c>
      <c r="F65" s="124">
        <v>11.46</v>
      </c>
      <c r="G65" s="126">
        <f t="shared" si="4"/>
        <v>14.01</v>
      </c>
      <c r="H65" s="127">
        <f>G65*D65</f>
        <v>42.03</v>
      </c>
    </row>
    <row r="66" s="80" customFormat="1" ht="18" customHeight="1" spans="1:8">
      <c r="A66" s="94"/>
      <c r="B66" s="124" t="s">
        <v>19</v>
      </c>
      <c r="C66" s="125" t="s">
        <v>20</v>
      </c>
      <c r="D66" s="125"/>
      <c r="E66" s="126">
        <v>3.4</v>
      </c>
      <c r="F66" s="124">
        <v>18.06</v>
      </c>
      <c r="G66" s="126">
        <f t="shared" si="4"/>
        <v>21.46</v>
      </c>
      <c r="H66" s="127">
        <f>G66*D66</f>
        <v>0</v>
      </c>
    </row>
    <row r="67" s="80" customFormat="1" ht="18" customHeight="1" spans="1:8">
      <c r="A67" s="94"/>
      <c r="B67" s="124" t="s">
        <v>21</v>
      </c>
      <c r="C67" s="125" t="s">
        <v>22</v>
      </c>
      <c r="D67" s="125"/>
      <c r="E67" s="126">
        <v>4.25</v>
      </c>
      <c r="F67" s="124" t="s">
        <v>91</v>
      </c>
      <c r="G67" s="126">
        <f t="shared" si="4"/>
        <v>25.95</v>
      </c>
      <c r="H67" s="127">
        <f>G67*D67</f>
        <v>0</v>
      </c>
    </row>
    <row r="68" s="80" customFormat="1" ht="18" customHeight="1" spans="1:8">
      <c r="A68" s="94"/>
      <c r="B68" s="124" t="s">
        <v>23</v>
      </c>
      <c r="C68" s="125" t="s">
        <v>24</v>
      </c>
      <c r="D68" s="125"/>
      <c r="E68" s="126">
        <v>5.1</v>
      </c>
      <c r="F68" s="124">
        <v>25.34</v>
      </c>
      <c r="G68" s="126">
        <f t="shared" si="4"/>
        <v>30.44</v>
      </c>
      <c r="H68" s="127">
        <f>G68*D68</f>
        <v>0</v>
      </c>
    </row>
    <row r="69" s="80" customFormat="1" ht="18" customHeight="1" spans="1:8">
      <c r="A69" s="94"/>
      <c r="B69" s="124" t="s">
        <v>25</v>
      </c>
      <c r="C69" s="125" t="s">
        <v>26</v>
      </c>
      <c r="D69" s="125"/>
      <c r="E69" s="126" t="s">
        <v>79</v>
      </c>
      <c r="F69" s="124" t="s">
        <v>92</v>
      </c>
      <c r="G69" s="126">
        <f t="shared" si="4"/>
        <v>29.76</v>
      </c>
      <c r="H69" s="127">
        <f t="shared" ref="H69:H82" si="5">G69*D69</f>
        <v>0</v>
      </c>
    </row>
    <row r="70" s="80" customFormat="1" ht="18" customHeight="1" spans="1:8">
      <c r="A70" s="94"/>
      <c r="B70" s="124" t="s">
        <v>27</v>
      </c>
      <c r="C70" s="125" t="s">
        <v>31</v>
      </c>
      <c r="D70" s="125"/>
      <c r="E70" s="126">
        <v>7.65</v>
      </c>
      <c r="F70" s="124" t="s">
        <v>93</v>
      </c>
      <c r="G70" s="126">
        <f t="shared" si="4"/>
        <v>37.63</v>
      </c>
      <c r="H70" s="127">
        <f t="shared" si="5"/>
        <v>0</v>
      </c>
    </row>
    <row r="71" s="80" customFormat="1" ht="18" customHeight="1" spans="1:8">
      <c r="A71" s="94"/>
      <c r="B71" s="124" t="s">
        <v>30</v>
      </c>
      <c r="C71" s="125" t="s">
        <v>36</v>
      </c>
      <c r="D71" s="125"/>
      <c r="E71" s="126">
        <v>10.2</v>
      </c>
      <c r="F71" s="124" t="s">
        <v>94</v>
      </c>
      <c r="G71" s="126">
        <f t="shared" ref="G71:G82" si="6">E71+F71</f>
        <v>48.32</v>
      </c>
      <c r="H71" s="127">
        <f t="shared" si="5"/>
        <v>0</v>
      </c>
    </row>
    <row r="72" s="80" customFormat="1" ht="18" customHeight="1" spans="1:8">
      <c r="A72" s="94"/>
      <c r="B72" s="124" t="s">
        <v>33</v>
      </c>
      <c r="C72" s="125" t="s">
        <v>57</v>
      </c>
      <c r="D72" s="125">
        <v>5</v>
      </c>
      <c r="E72" s="126">
        <v>0.24</v>
      </c>
      <c r="F72" s="124">
        <v>5.29</v>
      </c>
      <c r="G72" s="126">
        <f t="shared" si="6"/>
        <v>5.53</v>
      </c>
      <c r="H72" s="127">
        <f t="shared" si="5"/>
        <v>27.65</v>
      </c>
    </row>
    <row r="73" s="80" customFormat="1" ht="18" customHeight="1" spans="1:8">
      <c r="A73" s="94"/>
      <c r="B73" s="124" t="s">
        <v>35</v>
      </c>
      <c r="C73" s="125" t="s">
        <v>59</v>
      </c>
      <c r="D73" s="125"/>
      <c r="E73" s="126">
        <v>1.97</v>
      </c>
      <c r="F73" s="124" t="s">
        <v>95</v>
      </c>
      <c r="G73" s="126">
        <f t="shared" si="6"/>
        <v>11.1</v>
      </c>
      <c r="H73" s="127">
        <f t="shared" si="5"/>
        <v>0</v>
      </c>
    </row>
    <row r="74" s="80" customFormat="1" ht="18" customHeight="1" spans="1:8">
      <c r="A74" s="94"/>
      <c r="B74" s="124" t="s">
        <v>37</v>
      </c>
      <c r="C74" s="125" t="s">
        <v>61</v>
      </c>
      <c r="D74" s="125"/>
      <c r="E74" s="126">
        <v>0.16</v>
      </c>
      <c r="F74" s="124" t="s">
        <v>96</v>
      </c>
      <c r="G74" s="126">
        <f t="shared" si="6"/>
        <v>3.94</v>
      </c>
      <c r="H74" s="127">
        <f t="shared" si="5"/>
        <v>0</v>
      </c>
    </row>
    <row r="75" s="80" customFormat="1" ht="18" customHeight="1" spans="1:8">
      <c r="A75" s="94"/>
      <c r="B75" s="124" t="s">
        <v>40</v>
      </c>
      <c r="C75" s="125" t="s">
        <v>87</v>
      </c>
      <c r="D75" s="125">
        <v>2</v>
      </c>
      <c r="E75" s="126">
        <v>0.24</v>
      </c>
      <c r="F75" s="124" t="s">
        <v>97</v>
      </c>
      <c r="G75" s="126">
        <f t="shared" si="6"/>
        <v>5.33</v>
      </c>
      <c r="H75" s="127">
        <f t="shared" si="5"/>
        <v>10.66</v>
      </c>
    </row>
    <row r="76" s="80" customFormat="1" ht="18" customHeight="1" spans="1:8">
      <c r="A76" s="94"/>
      <c r="B76" s="124" t="s">
        <v>43</v>
      </c>
      <c r="C76" s="125" t="s">
        <v>89</v>
      </c>
      <c r="D76" s="125"/>
      <c r="E76" s="126"/>
      <c r="F76" s="124"/>
      <c r="G76" s="126">
        <f t="shared" si="6"/>
        <v>0</v>
      </c>
      <c r="H76" s="127">
        <f t="shared" si="5"/>
        <v>0</v>
      </c>
    </row>
    <row r="77" s="80" customFormat="1" ht="18" customHeight="1" spans="1:8">
      <c r="A77" s="94"/>
      <c r="B77" s="124" t="s">
        <v>46</v>
      </c>
      <c r="C77" s="125" t="s">
        <v>67</v>
      </c>
      <c r="D77" s="125">
        <v>8</v>
      </c>
      <c r="E77" s="126">
        <v>2.24</v>
      </c>
      <c r="F77" s="124"/>
      <c r="G77" s="126">
        <f t="shared" si="6"/>
        <v>2.24</v>
      </c>
      <c r="H77" s="127">
        <f t="shared" si="5"/>
        <v>17.92</v>
      </c>
    </row>
    <row r="78" s="80" customFormat="1" ht="18" customHeight="1" spans="1:8">
      <c r="A78" s="94"/>
      <c r="B78" s="124" t="s">
        <v>50</v>
      </c>
      <c r="C78" s="125" t="s">
        <v>69</v>
      </c>
      <c r="D78" s="125"/>
      <c r="E78" s="126"/>
      <c r="F78" s="124"/>
      <c r="G78" s="126">
        <f t="shared" si="6"/>
        <v>0</v>
      </c>
      <c r="H78" s="127">
        <f t="shared" si="5"/>
        <v>0</v>
      </c>
    </row>
    <row r="79" s="80" customFormat="1" ht="18" customHeight="1" spans="1:8">
      <c r="A79" s="94"/>
      <c r="B79" s="124" t="s">
        <v>53</v>
      </c>
      <c r="C79" s="125" t="s">
        <v>71</v>
      </c>
      <c r="D79" s="125">
        <v>12</v>
      </c>
      <c r="E79" s="126">
        <v>0.76</v>
      </c>
      <c r="F79" s="124"/>
      <c r="G79" s="126">
        <f t="shared" si="6"/>
        <v>0.76</v>
      </c>
      <c r="H79" s="127">
        <f t="shared" si="5"/>
        <v>9.12</v>
      </c>
    </row>
    <row r="80" s="80" customFormat="1" ht="18" customHeight="1" spans="1:8">
      <c r="A80" s="94"/>
      <c r="B80" s="124" t="s">
        <v>56</v>
      </c>
      <c r="C80" s="125" t="s">
        <v>73</v>
      </c>
      <c r="D80" s="125">
        <v>14</v>
      </c>
      <c r="E80" s="126">
        <v>1.49</v>
      </c>
      <c r="F80" s="124"/>
      <c r="G80" s="126">
        <f t="shared" si="6"/>
        <v>1.49</v>
      </c>
      <c r="H80" s="127">
        <f t="shared" si="5"/>
        <v>20.86</v>
      </c>
    </row>
    <row r="81" s="80" customFormat="1" ht="18" customHeight="1" spans="1:8">
      <c r="A81" s="94"/>
      <c r="B81" s="124" t="s">
        <v>58</v>
      </c>
      <c r="C81" s="125" t="s">
        <v>75</v>
      </c>
      <c r="D81" s="125">
        <v>8</v>
      </c>
      <c r="E81" s="126">
        <v>2.98</v>
      </c>
      <c r="F81" s="124"/>
      <c r="G81" s="126">
        <f t="shared" si="6"/>
        <v>2.98</v>
      </c>
      <c r="H81" s="127">
        <f t="shared" si="5"/>
        <v>23.84</v>
      </c>
    </row>
    <row r="82" s="80" customFormat="1" ht="18" customHeight="1" spans="1:8">
      <c r="A82" s="94"/>
      <c r="B82" s="124" t="s">
        <v>60</v>
      </c>
      <c r="C82" s="125" t="s">
        <v>77</v>
      </c>
      <c r="D82" s="125"/>
      <c r="E82" s="126">
        <v>0.25</v>
      </c>
      <c r="F82" s="124"/>
      <c r="G82" s="126">
        <f t="shared" si="6"/>
        <v>0.25</v>
      </c>
      <c r="H82" s="127">
        <f t="shared" si="5"/>
        <v>0</v>
      </c>
    </row>
    <row r="83" s="80" customFormat="1" ht="18" customHeight="1" spans="1:8">
      <c r="A83" s="94"/>
      <c r="B83" s="121" t="s">
        <v>98</v>
      </c>
      <c r="C83" s="121"/>
      <c r="D83" s="121"/>
      <c r="E83" s="123"/>
      <c r="F83" s="121"/>
      <c r="G83" s="121"/>
      <c r="H83" s="121"/>
    </row>
    <row r="84" s="80" customFormat="1" ht="18" customHeight="1" spans="1:8">
      <c r="A84" s="94"/>
      <c r="B84" s="124" t="s">
        <v>13</v>
      </c>
      <c r="C84" s="125" t="s">
        <v>14</v>
      </c>
      <c r="D84" s="125">
        <v>32</v>
      </c>
      <c r="E84" s="126">
        <v>0.85</v>
      </c>
      <c r="F84" s="124">
        <v>5.49</v>
      </c>
      <c r="G84" s="126">
        <f t="shared" ref="G84:G98" si="7">E84+F84</f>
        <v>6.34</v>
      </c>
      <c r="H84" s="127">
        <f>G84*D84</f>
        <v>202.88</v>
      </c>
    </row>
    <row r="85" s="80" customFormat="1" ht="18" customHeight="1" spans="1:8">
      <c r="A85" s="94"/>
      <c r="B85" s="124" t="s">
        <v>15</v>
      </c>
      <c r="C85" s="125" t="s">
        <v>16</v>
      </c>
      <c r="D85" s="125">
        <v>8</v>
      </c>
      <c r="E85" s="126">
        <v>1.7</v>
      </c>
      <c r="F85" s="124">
        <v>9.78</v>
      </c>
      <c r="G85" s="126">
        <f t="shared" si="7"/>
        <v>11.48</v>
      </c>
      <c r="H85" s="127">
        <f>G85*D85</f>
        <v>91.84</v>
      </c>
    </row>
    <row r="86" s="80" customFormat="1" ht="18" customHeight="1" spans="1:8">
      <c r="A86" s="94"/>
      <c r="B86" s="124" t="s">
        <v>17</v>
      </c>
      <c r="C86" s="125" t="s">
        <v>18</v>
      </c>
      <c r="D86" s="125">
        <v>4</v>
      </c>
      <c r="E86" s="126">
        <v>2.55</v>
      </c>
      <c r="F86" s="124" t="s">
        <v>99</v>
      </c>
      <c r="G86" s="126">
        <f t="shared" si="7"/>
        <v>16.55</v>
      </c>
      <c r="H86" s="127">
        <f>G86*D86</f>
        <v>66.2</v>
      </c>
    </row>
    <row r="87" s="80" customFormat="1" ht="18" customHeight="1" spans="1:8">
      <c r="A87" s="94"/>
      <c r="B87" s="124" t="s">
        <v>19</v>
      </c>
      <c r="C87" s="125" t="s">
        <v>20</v>
      </c>
      <c r="D87" s="125">
        <v>1</v>
      </c>
      <c r="E87" s="126">
        <v>3.4</v>
      </c>
      <c r="F87" s="124">
        <v>18.36</v>
      </c>
      <c r="G87" s="126">
        <f t="shared" si="7"/>
        <v>21.76</v>
      </c>
      <c r="H87" s="127">
        <f t="shared" ref="H87:H102" si="8">G87*D87</f>
        <v>21.76</v>
      </c>
    </row>
    <row r="88" s="80" customFormat="1" ht="18" customHeight="1" spans="1:8">
      <c r="A88" s="94"/>
      <c r="B88" s="124" t="s">
        <v>21</v>
      </c>
      <c r="C88" s="125" t="s">
        <v>22</v>
      </c>
      <c r="D88" s="125"/>
      <c r="E88" s="126">
        <v>4.25</v>
      </c>
      <c r="F88" s="124">
        <v>22.66</v>
      </c>
      <c r="G88" s="126">
        <f t="shared" si="7"/>
        <v>26.91</v>
      </c>
      <c r="H88" s="127">
        <f t="shared" si="8"/>
        <v>0</v>
      </c>
    </row>
    <row r="89" s="80" customFormat="1" ht="18" customHeight="1" spans="1:8">
      <c r="A89" s="94"/>
      <c r="B89" s="124" t="s">
        <v>23</v>
      </c>
      <c r="C89" s="125" t="s">
        <v>24</v>
      </c>
      <c r="D89" s="125">
        <v>1</v>
      </c>
      <c r="E89" s="126">
        <v>5.1</v>
      </c>
      <c r="F89" s="124">
        <v>26.95</v>
      </c>
      <c r="G89" s="126">
        <f t="shared" si="7"/>
        <v>32.05</v>
      </c>
      <c r="H89" s="127">
        <f t="shared" si="8"/>
        <v>32.05</v>
      </c>
    </row>
    <row r="90" s="80" customFormat="1" ht="18" customHeight="1" spans="1:8">
      <c r="A90" s="94"/>
      <c r="B90" s="124" t="s">
        <v>25</v>
      </c>
      <c r="C90" s="125" t="s">
        <v>26</v>
      </c>
      <c r="D90" s="125"/>
      <c r="E90" s="126">
        <v>5.95</v>
      </c>
      <c r="F90" s="124">
        <v>31.24</v>
      </c>
      <c r="G90" s="126">
        <f t="shared" si="7"/>
        <v>37.19</v>
      </c>
      <c r="H90" s="127">
        <f t="shared" si="8"/>
        <v>0</v>
      </c>
    </row>
    <row r="91" s="80" customFormat="1" ht="18" customHeight="1" spans="1:8">
      <c r="A91" s="94"/>
      <c r="B91" s="124" t="s">
        <v>27</v>
      </c>
      <c r="C91" s="125" t="s">
        <v>28</v>
      </c>
      <c r="D91" s="125"/>
      <c r="E91" s="126">
        <v>6.8</v>
      </c>
      <c r="F91" s="124" t="s">
        <v>100</v>
      </c>
      <c r="G91" s="126">
        <f t="shared" si="7"/>
        <v>42.33</v>
      </c>
      <c r="H91" s="127">
        <f t="shared" si="8"/>
        <v>0</v>
      </c>
    </row>
    <row r="92" s="80" customFormat="1" ht="18" customHeight="1" spans="1:8">
      <c r="A92" s="94"/>
      <c r="B92" s="124" t="s">
        <v>30</v>
      </c>
      <c r="C92" s="125" t="s">
        <v>31</v>
      </c>
      <c r="D92" s="125"/>
      <c r="E92" s="126">
        <v>7.65</v>
      </c>
      <c r="F92" s="124">
        <v>39.82</v>
      </c>
      <c r="G92" s="126">
        <f t="shared" si="7"/>
        <v>47.47</v>
      </c>
      <c r="H92" s="127">
        <f t="shared" si="8"/>
        <v>0</v>
      </c>
    </row>
    <row r="93" s="80" customFormat="1" ht="18" customHeight="1" spans="1:8">
      <c r="A93" s="94"/>
      <c r="B93" s="124" t="s">
        <v>33</v>
      </c>
      <c r="C93" s="125" t="s">
        <v>101</v>
      </c>
      <c r="D93" s="125"/>
      <c r="E93" s="126">
        <v>9.35</v>
      </c>
      <c r="F93" s="124" t="s">
        <v>102</v>
      </c>
      <c r="G93" s="126">
        <f t="shared" ref="G93:G102" si="9">E93+F93</f>
        <v>52.33</v>
      </c>
      <c r="H93" s="127">
        <f t="shared" si="8"/>
        <v>0</v>
      </c>
    </row>
    <row r="94" s="80" customFormat="1" ht="18" customHeight="1" spans="1:8">
      <c r="A94" s="94"/>
      <c r="B94" s="124" t="s">
        <v>35</v>
      </c>
      <c r="C94" s="125" t="s">
        <v>36</v>
      </c>
      <c r="D94" s="125"/>
      <c r="E94" s="126">
        <v>10.2</v>
      </c>
      <c r="F94" s="124">
        <v>46.89</v>
      </c>
      <c r="G94" s="126">
        <f t="shared" si="9"/>
        <v>57.09</v>
      </c>
      <c r="H94" s="127">
        <f t="shared" si="8"/>
        <v>0</v>
      </c>
    </row>
    <row r="95" s="80" customFormat="1" ht="18" customHeight="1" spans="1:8">
      <c r="A95" s="94"/>
      <c r="B95" s="124" t="s">
        <v>37</v>
      </c>
      <c r="C95" s="125" t="s">
        <v>57</v>
      </c>
      <c r="D95" s="125">
        <v>2</v>
      </c>
      <c r="E95" s="126">
        <v>0.24</v>
      </c>
      <c r="F95" s="124">
        <v>5.49</v>
      </c>
      <c r="G95" s="126">
        <f t="shared" si="9"/>
        <v>5.73</v>
      </c>
      <c r="H95" s="127">
        <f t="shared" si="8"/>
        <v>11.46</v>
      </c>
    </row>
    <row r="96" s="80" customFormat="1" ht="18" customHeight="1" spans="1:8">
      <c r="A96" s="94"/>
      <c r="B96" s="124" t="s">
        <v>40</v>
      </c>
      <c r="C96" s="125" t="s">
        <v>59</v>
      </c>
      <c r="D96" s="125">
        <v>3</v>
      </c>
      <c r="E96" s="126">
        <v>1.97</v>
      </c>
      <c r="F96" s="124" t="s">
        <v>103</v>
      </c>
      <c r="G96" s="126">
        <f t="shared" si="9"/>
        <v>13.2</v>
      </c>
      <c r="H96" s="127">
        <f t="shared" si="8"/>
        <v>39.6</v>
      </c>
    </row>
    <row r="97" s="80" customFormat="1" ht="18" customHeight="1" spans="1:8">
      <c r="A97" s="94"/>
      <c r="B97" s="124" t="s">
        <v>43</v>
      </c>
      <c r="C97" s="125" t="s">
        <v>67</v>
      </c>
      <c r="D97" s="125">
        <v>24</v>
      </c>
      <c r="E97" s="126">
        <v>2.64</v>
      </c>
      <c r="F97" s="124"/>
      <c r="G97" s="126">
        <f t="shared" si="9"/>
        <v>2.64</v>
      </c>
      <c r="H97" s="127">
        <f t="shared" si="8"/>
        <v>63.36</v>
      </c>
    </row>
    <row r="98" s="80" customFormat="1" ht="18" customHeight="1" spans="1:8">
      <c r="A98" s="94"/>
      <c r="B98" s="124" t="s">
        <v>46</v>
      </c>
      <c r="C98" s="125" t="s">
        <v>69</v>
      </c>
      <c r="D98" s="125">
        <v>2</v>
      </c>
      <c r="E98" s="126">
        <v>10.2</v>
      </c>
      <c r="F98" s="124"/>
      <c r="G98" s="126">
        <f t="shared" si="9"/>
        <v>10.2</v>
      </c>
      <c r="H98" s="127">
        <f t="shared" si="8"/>
        <v>20.4</v>
      </c>
    </row>
    <row r="99" s="80" customFormat="1" ht="18" customHeight="1" spans="1:8">
      <c r="A99" s="94"/>
      <c r="B99" s="124" t="s">
        <v>50</v>
      </c>
      <c r="C99" s="125" t="s">
        <v>71</v>
      </c>
      <c r="D99" s="125">
        <v>18</v>
      </c>
      <c r="E99" s="126">
        <v>0.76</v>
      </c>
      <c r="F99" s="124"/>
      <c r="G99" s="126">
        <f t="shared" si="9"/>
        <v>0.76</v>
      </c>
      <c r="H99" s="127">
        <f t="shared" si="8"/>
        <v>13.68</v>
      </c>
    </row>
    <row r="100" s="80" customFormat="1" ht="18" customHeight="1" spans="1:8">
      <c r="A100" s="94"/>
      <c r="B100" s="124" t="s">
        <v>53</v>
      </c>
      <c r="C100" s="125" t="s">
        <v>73</v>
      </c>
      <c r="D100" s="125">
        <v>21</v>
      </c>
      <c r="E100" s="126">
        <v>1.49</v>
      </c>
      <c r="F100" s="124"/>
      <c r="G100" s="126">
        <f>E100+F100</f>
        <v>1.49</v>
      </c>
      <c r="H100" s="127">
        <f t="shared" si="8"/>
        <v>31.29</v>
      </c>
    </row>
    <row r="101" s="80" customFormat="1" ht="18" customHeight="1" spans="1:8">
      <c r="A101" s="94"/>
      <c r="B101" s="124" t="s">
        <v>56</v>
      </c>
      <c r="C101" s="125" t="s">
        <v>75</v>
      </c>
      <c r="D101" s="125">
        <v>17</v>
      </c>
      <c r="E101" s="126">
        <v>2.98</v>
      </c>
      <c r="F101" s="124"/>
      <c r="G101" s="126">
        <f t="shared" si="9"/>
        <v>2.98</v>
      </c>
      <c r="H101" s="127">
        <f t="shared" si="8"/>
        <v>50.66</v>
      </c>
    </row>
    <row r="102" s="80" customFormat="1" ht="18" customHeight="1" spans="1:8">
      <c r="A102" s="94"/>
      <c r="B102" s="124" t="s">
        <v>58</v>
      </c>
      <c r="C102" s="125" t="s">
        <v>77</v>
      </c>
      <c r="D102" s="125"/>
      <c r="E102" s="126">
        <v>0.25</v>
      </c>
      <c r="F102" s="124"/>
      <c r="G102" s="126">
        <f t="shared" si="9"/>
        <v>0.25</v>
      </c>
      <c r="H102" s="127">
        <f t="shared" si="8"/>
        <v>0</v>
      </c>
    </row>
    <row r="103" s="80" customFormat="1" ht="18" customHeight="1" spans="1:8">
      <c r="A103" s="94"/>
      <c r="B103" s="121" t="s">
        <v>104</v>
      </c>
      <c r="C103" s="121"/>
      <c r="D103" s="121"/>
      <c r="E103" s="123"/>
      <c r="F103" s="121"/>
      <c r="G103" s="121"/>
      <c r="H103" s="121"/>
    </row>
    <row r="104" s="80" customFormat="1" ht="18" customHeight="1" spans="1:8">
      <c r="A104" s="94"/>
      <c r="B104" s="124" t="s">
        <v>13</v>
      </c>
      <c r="C104" s="125" t="s">
        <v>14</v>
      </c>
      <c r="D104" s="125">
        <v>2</v>
      </c>
      <c r="E104" s="126">
        <v>0.85</v>
      </c>
      <c r="F104" s="124" t="s">
        <v>105</v>
      </c>
      <c r="G104" s="126">
        <f>E104+F104</f>
        <v>7.45</v>
      </c>
      <c r="H104" s="127">
        <f>G104*D104</f>
        <v>14.9</v>
      </c>
    </row>
    <row r="105" s="80" customFormat="1" ht="18" customHeight="1" spans="1:8">
      <c r="A105" s="94"/>
      <c r="B105" s="124" t="s">
        <v>15</v>
      </c>
      <c r="C105" s="125" t="s">
        <v>16</v>
      </c>
      <c r="D105" s="125"/>
      <c r="E105" s="126">
        <v>1.7</v>
      </c>
      <c r="F105" s="124">
        <v>10.69</v>
      </c>
      <c r="G105" s="126">
        <f t="shared" ref="G105:G118" si="10">E105+F105</f>
        <v>12.39</v>
      </c>
      <c r="H105" s="127">
        <f t="shared" ref="H105:H118" si="11">G105*D105</f>
        <v>0</v>
      </c>
    </row>
    <row r="106" s="80" customFormat="1" ht="18" customHeight="1" spans="1:8">
      <c r="A106" s="94"/>
      <c r="B106" s="124" t="s">
        <v>17</v>
      </c>
      <c r="C106" s="125" t="s">
        <v>18</v>
      </c>
      <c r="D106" s="125">
        <v>1</v>
      </c>
      <c r="E106" s="126">
        <v>2.55</v>
      </c>
      <c r="F106" s="124">
        <v>14.79</v>
      </c>
      <c r="G106" s="126">
        <f t="shared" si="10"/>
        <v>17.34</v>
      </c>
      <c r="H106" s="127">
        <f t="shared" si="11"/>
        <v>17.34</v>
      </c>
    </row>
    <row r="107" s="80" customFormat="1" ht="18" customHeight="1" spans="1:8">
      <c r="A107" s="94"/>
      <c r="B107" s="124" t="s">
        <v>19</v>
      </c>
      <c r="C107" s="125" t="s">
        <v>20</v>
      </c>
      <c r="D107" s="125"/>
      <c r="E107" s="126">
        <v>3.4</v>
      </c>
      <c r="F107" s="124" t="s">
        <v>106</v>
      </c>
      <c r="G107" s="126">
        <f t="shared" si="10"/>
        <v>22.28</v>
      </c>
      <c r="H107" s="127">
        <f t="shared" si="11"/>
        <v>0</v>
      </c>
    </row>
    <row r="108" s="80" customFormat="1" ht="18" customHeight="1" spans="1:8">
      <c r="A108" s="94"/>
      <c r="B108" s="124" t="s">
        <v>21</v>
      </c>
      <c r="C108" s="125" t="s">
        <v>24</v>
      </c>
      <c r="D108" s="125"/>
      <c r="E108" s="126">
        <v>5.1</v>
      </c>
      <c r="F108" s="124" t="s">
        <v>107</v>
      </c>
      <c r="G108" s="126">
        <f t="shared" si="10"/>
        <v>32.18</v>
      </c>
      <c r="H108" s="127">
        <f t="shared" si="11"/>
        <v>0</v>
      </c>
    </row>
    <row r="109" s="80" customFormat="1" ht="18" customHeight="1" spans="1:8">
      <c r="A109" s="94"/>
      <c r="B109" s="124" t="s">
        <v>23</v>
      </c>
      <c r="C109" s="125" t="s">
        <v>34</v>
      </c>
      <c r="D109" s="125"/>
      <c r="E109" s="126">
        <v>8.5</v>
      </c>
      <c r="F109" s="124" t="s">
        <v>108</v>
      </c>
      <c r="G109" s="126">
        <f t="shared" si="10"/>
        <v>51.96</v>
      </c>
      <c r="H109" s="127">
        <f t="shared" si="11"/>
        <v>0</v>
      </c>
    </row>
    <row r="110" s="80" customFormat="1" ht="18" customHeight="1" spans="1:8">
      <c r="A110" s="94"/>
      <c r="B110" s="124" t="s">
        <v>25</v>
      </c>
      <c r="C110" s="125" t="s">
        <v>109</v>
      </c>
      <c r="D110" s="125"/>
      <c r="E110" s="126" t="s">
        <v>110</v>
      </c>
      <c r="F110" s="124" t="s">
        <v>111</v>
      </c>
      <c r="G110" s="126">
        <f t="shared" si="10"/>
        <v>74.02</v>
      </c>
      <c r="H110" s="127">
        <f t="shared" si="11"/>
        <v>0</v>
      </c>
    </row>
    <row r="111" s="80" customFormat="1" ht="18" customHeight="1" spans="1:8">
      <c r="A111" s="94"/>
      <c r="B111" s="124" t="s">
        <v>27</v>
      </c>
      <c r="C111" s="125" t="s">
        <v>57</v>
      </c>
      <c r="D111" s="125"/>
      <c r="E111" s="126">
        <v>0.24</v>
      </c>
      <c r="F111" s="124" t="s">
        <v>105</v>
      </c>
      <c r="G111" s="126">
        <f t="shared" si="10"/>
        <v>6.84</v>
      </c>
      <c r="H111" s="127">
        <f t="shared" si="11"/>
        <v>0</v>
      </c>
    </row>
    <row r="112" s="80" customFormat="1" ht="18" customHeight="1" spans="1:8">
      <c r="A112" s="94"/>
      <c r="B112" s="124" t="s">
        <v>30</v>
      </c>
      <c r="C112" s="125" t="s">
        <v>59</v>
      </c>
      <c r="D112" s="125"/>
      <c r="E112" s="126">
        <v>1.97</v>
      </c>
      <c r="F112" s="124" t="s">
        <v>112</v>
      </c>
      <c r="G112" s="126">
        <f t="shared" si="10"/>
        <v>11.84</v>
      </c>
      <c r="H112" s="127">
        <f t="shared" si="11"/>
        <v>0</v>
      </c>
    </row>
    <row r="113" s="80" customFormat="1" ht="18" customHeight="1" spans="1:8">
      <c r="A113" s="94"/>
      <c r="B113" s="124" t="s">
        <v>33</v>
      </c>
      <c r="C113" s="125" t="s">
        <v>67</v>
      </c>
      <c r="D113" s="125">
        <v>3</v>
      </c>
      <c r="E113" s="126">
        <v>2.89</v>
      </c>
      <c r="F113" s="124"/>
      <c r="G113" s="126">
        <f t="shared" si="10"/>
        <v>2.89</v>
      </c>
      <c r="H113" s="127">
        <f t="shared" si="11"/>
        <v>8.67</v>
      </c>
    </row>
    <row r="114" s="80" customFormat="1" ht="18" customHeight="1" spans="1:8">
      <c r="A114" s="94"/>
      <c r="B114" s="124" t="s">
        <v>35</v>
      </c>
      <c r="C114" s="125" t="s">
        <v>69</v>
      </c>
      <c r="D114" s="125"/>
      <c r="E114" s="126">
        <v>11.23</v>
      </c>
      <c r="F114" s="124"/>
      <c r="G114" s="126">
        <f t="shared" si="10"/>
        <v>11.23</v>
      </c>
      <c r="H114" s="127">
        <f t="shared" si="11"/>
        <v>0</v>
      </c>
    </row>
    <row r="115" s="80" customFormat="1" ht="18" customHeight="1" spans="1:8">
      <c r="A115" s="94"/>
      <c r="B115" s="124" t="s">
        <v>37</v>
      </c>
      <c r="C115" s="125" t="s">
        <v>71</v>
      </c>
      <c r="D115" s="125">
        <v>2</v>
      </c>
      <c r="E115" s="126">
        <v>0.76</v>
      </c>
      <c r="F115" s="124"/>
      <c r="G115" s="126">
        <f t="shared" si="10"/>
        <v>0.76</v>
      </c>
      <c r="H115" s="127">
        <f t="shared" si="11"/>
        <v>1.52</v>
      </c>
    </row>
    <row r="116" s="80" customFormat="1" ht="18" customHeight="1" spans="1:8">
      <c r="A116" s="94"/>
      <c r="B116" s="124" t="s">
        <v>40</v>
      </c>
      <c r="C116" s="125" t="s">
        <v>73</v>
      </c>
      <c r="D116" s="125">
        <v>2</v>
      </c>
      <c r="E116" s="126">
        <v>1.49</v>
      </c>
      <c r="F116" s="124"/>
      <c r="G116" s="126">
        <f t="shared" si="10"/>
        <v>1.49</v>
      </c>
      <c r="H116" s="127">
        <f t="shared" si="11"/>
        <v>2.98</v>
      </c>
    </row>
    <row r="117" s="80" customFormat="1" ht="18" customHeight="1" spans="1:8">
      <c r="A117" s="94"/>
      <c r="B117" s="124" t="s">
        <v>43</v>
      </c>
      <c r="C117" s="125" t="s">
        <v>75</v>
      </c>
      <c r="D117" s="125">
        <v>1</v>
      </c>
      <c r="E117" s="126">
        <v>2.98</v>
      </c>
      <c r="F117" s="124"/>
      <c r="G117" s="126">
        <f t="shared" si="10"/>
        <v>2.98</v>
      </c>
      <c r="H117" s="127">
        <f t="shared" si="11"/>
        <v>2.98</v>
      </c>
    </row>
    <row r="118" s="80" customFormat="1" ht="18" customHeight="1" spans="1:8">
      <c r="A118" s="94"/>
      <c r="B118" s="124" t="s">
        <v>46</v>
      </c>
      <c r="C118" s="125" t="s">
        <v>77</v>
      </c>
      <c r="D118" s="125"/>
      <c r="E118" s="126"/>
      <c r="F118" s="124"/>
      <c r="G118" s="126">
        <f t="shared" si="10"/>
        <v>0</v>
      </c>
      <c r="H118" s="127">
        <f t="shared" si="11"/>
        <v>0</v>
      </c>
    </row>
    <row r="119" s="80" customFormat="1" ht="18" customHeight="1" spans="1:8">
      <c r="A119" s="94"/>
      <c r="B119" s="121" t="s">
        <v>113</v>
      </c>
      <c r="C119" s="121"/>
      <c r="D119" s="121"/>
      <c r="E119" s="123"/>
      <c r="F119" s="121"/>
      <c r="G119" s="121"/>
      <c r="H119" s="121"/>
    </row>
    <row r="120" s="80" customFormat="1" ht="18" customHeight="1" spans="1:8">
      <c r="A120" s="94"/>
      <c r="B120" s="124" t="s">
        <v>13</v>
      </c>
      <c r="C120" s="125" t="s">
        <v>14</v>
      </c>
      <c r="D120" s="125"/>
      <c r="E120" s="126">
        <v>0.85</v>
      </c>
      <c r="F120" s="124">
        <v>5.76</v>
      </c>
      <c r="G120" s="126">
        <f t="shared" ref="G120:G125" si="12">E120+F120</f>
        <v>6.61</v>
      </c>
      <c r="H120" s="127">
        <f t="shared" ref="H120:H125" si="13">G120*D120</f>
        <v>0</v>
      </c>
    </row>
    <row r="121" s="80" customFormat="1" ht="18" customHeight="1" spans="1:8">
      <c r="A121" s="94"/>
      <c r="B121" s="124" t="s">
        <v>15</v>
      </c>
      <c r="C121" s="125" t="s">
        <v>16</v>
      </c>
      <c r="D121" s="125"/>
      <c r="E121" s="126">
        <v>1.7</v>
      </c>
      <c r="F121" s="124">
        <v>9.98</v>
      </c>
      <c r="G121" s="126">
        <f t="shared" si="12"/>
        <v>11.68</v>
      </c>
      <c r="H121" s="127">
        <f t="shared" si="13"/>
        <v>0</v>
      </c>
    </row>
    <row r="122" s="80" customFormat="1" ht="18" customHeight="1" spans="1:8">
      <c r="A122" s="94"/>
      <c r="B122" s="124" t="s">
        <v>17</v>
      </c>
      <c r="C122" s="125" t="s">
        <v>18</v>
      </c>
      <c r="D122" s="125"/>
      <c r="E122" s="126">
        <v>2.55</v>
      </c>
      <c r="F122" s="124">
        <v>14.68</v>
      </c>
      <c r="G122" s="126">
        <f t="shared" si="12"/>
        <v>17.23</v>
      </c>
      <c r="H122" s="127">
        <f t="shared" si="13"/>
        <v>0</v>
      </c>
    </row>
    <row r="123" s="80" customFormat="1" ht="18" customHeight="1" spans="1:8">
      <c r="A123" s="94"/>
      <c r="B123" s="124" t="s">
        <v>19</v>
      </c>
      <c r="C123" s="125" t="s">
        <v>71</v>
      </c>
      <c r="D123" s="125"/>
      <c r="E123" s="126">
        <v>0.76</v>
      </c>
      <c r="F123" s="124"/>
      <c r="G123" s="126">
        <f t="shared" si="12"/>
        <v>0.76</v>
      </c>
      <c r="H123" s="127">
        <f t="shared" si="13"/>
        <v>0</v>
      </c>
    </row>
    <row r="124" s="80" customFormat="1" ht="18" customHeight="1" spans="1:8">
      <c r="A124" s="94"/>
      <c r="B124" s="124" t="s">
        <v>21</v>
      </c>
      <c r="C124" s="125" t="s">
        <v>73</v>
      </c>
      <c r="D124" s="125"/>
      <c r="E124" s="126">
        <v>1.49</v>
      </c>
      <c r="F124" s="124"/>
      <c r="G124" s="126">
        <f t="shared" si="12"/>
        <v>1.49</v>
      </c>
      <c r="H124" s="127">
        <f t="shared" si="13"/>
        <v>0</v>
      </c>
    </row>
    <row r="125" s="80" customFormat="1" ht="18" customHeight="1" spans="1:8">
      <c r="A125" s="94"/>
      <c r="B125" s="124" t="s">
        <v>23</v>
      </c>
      <c r="C125" s="125" t="s">
        <v>77</v>
      </c>
      <c r="D125" s="125"/>
      <c r="E125" s="126">
        <v>0.25</v>
      </c>
      <c r="F125" s="124"/>
      <c r="G125" s="126">
        <f t="shared" si="12"/>
        <v>0.25</v>
      </c>
      <c r="H125" s="127">
        <f t="shared" si="13"/>
        <v>0</v>
      </c>
    </row>
    <row r="126" s="80" customFormat="1" ht="18" customHeight="1" spans="1:8">
      <c r="A126" s="94"/>
      <c r="B126" s="121" t="s">
        <v>114</v>
      </c>
      <c r="C126" s="121"/>
      <c r="D126" s="121"/>
      <c r="E126" s="123"/>
      <c r="F126" s="121"/>
      <c r="G126" s="121"/>
      <c r="H126" s="121"/>
    </row>
    <row r="127" s="80" customFormat="1" ht="18" customHeight="1" spans="1:8">
      <c r="A127" s="94"/>
      <c r="B127" s="124" t="s">
        <v>13</v>
      </c>
      <c r="C127" s="125" t="s">
        <v>14</v>
      </c>
      <c r="D127" s="125"/>
      <c r="E127" s="126">
        <v>0.85</v>
      </c>
      <c r="F127" s="124"/>
      <c r="G127" s="126">
        <v>5.15</v>
      </c>
      <c r="H127" s="127">
        <f t="shared" ref="H127:H132" si="14">G127*D127</f>
        <v>0</v>
      </c>
    </row>
    <row r="128" s="80" customFormat="1" ht="18" customHeight="1" spans="1:8">
      <c r="A128" s="94"/>
      <c r="B128" s="124" t="s">
        <v>15</v>
      </c>
      <c r="C128" s="125" t="s">
        <v>18</v>
      </c>
      <c r="D128" s="125"/>
      <c r="E128" s="126">
        <v>2.55</v>
      </c>
      <c r="F128" s="124"/>
      <c r="G128" s="126">
        <v>11.16</v>
      </c>
      <c r="H128" s="127">
        <f t="shared" si="14"/>
        <v>0</v>
      </c>
    </row>
    <row r="129" s="80" customFormat="1" ht="18" customHeight="1" spans="1:8">
      <c r="A129" s="94"/>
      <c r="B129" s="124" t="s">
        <v>17</v>
      </c>
      <c r="C129" s="125" t="s">
        <v>61</v>
      </c>
      <c r="D129" s="125"/>
      <c r="E129" s="126">
        <v>0.17</v>
      </c>
      <c r="F129" s="124"/>
      <c r="G129" s="126">
        <v>3.1</v>
      </c>
      <c r="H129" s="127">
        <f t="shared" si="14"/>
        <v>0</v>
      </c>
    </row>
    <row r="130" s="80" customFormat="1" ht="18" customHeight="1" spans="1:8">
      <c r="A130" s="94"/>
      <c r="B130" s="124" t="s">
        <v>19</v>
      </c>
      <c r="C130" s="125" t="s">
        <v>71</v>
      </c>
      <c r="D130" s="125"/>
      <c r="E130" s="126">
        <v>0.76</v>
      </c>
      <c r="F130" s="124"/>
      <c r="G130" s="126">
        <v>0.76</v>
      </c>
      <c r="H130" s="127">
        <f t="shared" si="14"/>
        <v>0</v>
      </c>
    </row>
    <row r="131" s="80" customFormat="1" ht="18" customHeight="1" spans="1:8">
      <c r="A131" s="94"/>
      <c r="B131" s="124" t="s">
        <v>21</v>
      </c>
      <c r="C131" s="125" t="s">
        <v>73</v>
      </c>
      <c r="D131" s="125"/>
      <c r="E131" s="126">
        <v>1.49</v>
      </c>
      <c r="F131" s="124"/>
      <c r="G131" s="126">
        <v>2.55</v>
      </c>
      <c r="H131" s="127">
        <f t="shared" si="14"/>
        <v>0</v>
      </c>
    </row>
    <row r="132" s="80" customFormat="1" ht="18" customHeight="1" spans="1:8">
      <c r="A132" s="94"/>
      <c r="B132" s="124" t="s">
        <v>23</v>
      </c>
      <c r="C132" s="125" t="s">
        <v>77</v>
      </c>
      <c r="D132" s="125"/>
      <c r="E132" s="126">
        <v>0.25</v>
      </c>
      <c r="F132" s="124"/>
      <c r="G132" s="126">
        <v>0.25</v>
      </c>
      <c r="H132" s="127">
        <f t="shared" si="14"/>
        <v>0</v>
      </c>
    </row>
    <row r="133" s="80" customFormat="1" ht="18" customHeight="1" spans="1:8">
      <c r="A133" s="94"/>
      <c r="B133" s="121" t="s">
        <v>115</v>
      </c>
      <c r="C133" s="121"/>
      <c r="D133" s="121"/>
      <c r="E133" s="123"/>
      <c r="F133" s="121"/>
      <c r="G133" s="121"/>
      <c r="H133" s="121"/>
    </row>
    <row r="134" s="80" customFormat="1" ht="18" customHeight="1" spans="1:8">
      <c r="A134" s="94"/>
      <c r="B134" s="124" t="s">
        <v>13</v>
      </c>
      <c r="C134" s="125" t="s">
        <v>14</v>
      </c>
      <c r="D134" s="125"/>
      <c r="E134" s="126">
        <v>0.85</v>
      </c>
      <c r="F134" s="124"/>
      <c r="G134" s="126">
        <v>5.44</v>
      </c>
      <c r="H134" s="127">
        <f t="shared" ref="H134:H139" si="15">G134*D134</f>
        <v>0</v>
      </c>
    </row>
    <row r="135" s="80" customFormat="1" ht="18" customHeight="1" spans="1:8">
      <c r="A135" s="94"/>
      <c r="B135" s="124" t="s">
        <v>15</v>
      </c>
      <c r="C135" s="125" t="s">
        <v>18</v>
      </c>
      <c r="D135" s="125"/>
      <c r="E135" s="126">
        <v>2.55</v>
      </c>
      <c r="F135" s="124"/>
      <c r="G135" s="126">
        <v>12.12</v>
      </c>
      <c r="H135" s="127">
        <f t="shared" si="15"/>
        <v>0</v>
      </c>
    </row>
    <row r="136" s="80" customFormat="1" ht="18" customHeight="1" spans="1:8">
      <c r="A136" s="94"/>
      <c r="B136" s="124" t="s">
        <v>17</v>
      </c>
      <c r="C136" s="125" t="s">
        <v>20</v>
      </c>
      <c r="D136" s="125"/>
      <c r="E136" s="126">
        <v>3.4</v>
      </c>
      <c r="F136" s="124"/>
      <c r="G136" s="126">
        <v>15.67</v>
      </c>
      <c r="H136" s="127">
        <f t="shared" si="15"/>
        <v>0</v>
      </c>
    </row>
    <row r="137" s="80" customFormat="1" ht="18" customHeight="1" spans="1:8">
      <c r="A137" s="94"/>
      <c r="B137" s="124" t="s">
        <v>19</v>
      </c>
      <c r="C137" s="125" t="s">
        <v>71</v>
      </c>
      <c r="D137" s="125"/>
      <c r="E137" s="126">
        <v>0.76</v>
      </c>
      <c r="F137" s="124"/>
      <c r="G137" s="126">
        <v>0.72</v>
      </c>
      <c r="H137" s="127">
        <f t="shared" si="15"/>
        <v>0</v>
      </c>
    </row>
    <row r="138" s="80" customFormat="1" ht="18" customHeight="1" spans="1:8">
      <c r="A138" s="94"/>
      <c r="B138" s="124" t="s">
        <v>21</v>
      </c>
      <c r="C138" s="125" t="s">
        <v>73</v>
      </c>
      <c r="D138" s="125"/>
      <c r="E138" s="126">
        <v>1.49</v>
      </c>
      <c r="F138" s="124"/>
      <c r="G138" s="126">
        <v>1.47</v>
      </c>
      <c r="H138" s="127">
        <f t="shared" si="15"/>
        <v>0</v>
      </c>
    </row>
    <row r="139" s="80" customFormat="1" ht="18" customHeight="1" spans="1:8">
      <c r="A139" s="94"/>
      <c r="B139" s="124" t="s">
        <v>23</v>
      </c>
      <c r="C139" s="125" t="s">
        <v>77</v>
      </c>
      <c r="D139" s="125"/>
      <c r="E139" s="126">
        <v>0.25</v>
      </c>
      <c r="F139" s="124"/>
      <c r="G139" s="126">
        <v>0.25</v>
      </c>
      <c r="H139" s="127">
        <f t="shared" si="15"/>
        <v>0</v>
      </c>
    </row>
    <row r="140" s="80" customFormat="1" ht="18" customHeight="1" spans="1:8">
      <c r="A140" s="94"/>
      <c r="B140" s="121" t="s">
        <v>116</v>
      </c>
      <c r="C140" s="121"/>
      <c r="D140" s="121"/>
      <c r="E140" s="123"/>
      <c r="F140" s="121"/>
      <c r="G140" s="121"/>
      <c r="H140" s="121"/>
    </row>
    <row r="141" s="80" customFormat="1" ht="18" customHeight="1" spans="1:8">
      <c r="A141" s="94"/>
      <c r="B141" s="124" t="s">
        <v>13</v>
      </c>
      <c r="C141" s="125" t="s">
        <v>14</v>
      </c>
      <c r="D141" s="125"/>
      <c r="E141" s="126">
        <v>0.85</v>
      </c>
      <c r="F141" s="124" t="s">
        <v>79</v>
      </c>
      <c r="G141" s="126">
        <f>E141+F141</f>
        <v>6.8</v>
      </c>
      <c r="H141" s="127">
        <f>G141*D141</f>
        <v>0</v>
      </c>
    </row>
    <row r="142" s="80" customFormat="1" ht="18" customHeight="1" spans="1:8">
      <c r="A142" s="94"/>
      <c r="B142" s="124" t="s">
        <v>15</v>
      </c>
      <c r="C142" s="125" t="s">
        <v>73</v>
      </c>
      <c r="D142" s="125"/>
      <c r="E142" s="126">
        <v>1.79</v>
      </c>
      <c r="F142" s="124"/>
      <c r="G142" s="126">
        <f t="shared" ref="G142:G148" si="16">E142+F142</f>
        <v>1.79</v>
      </c>
      <c r="H142" s="127">
        <f t="shared" ref="H142:H148" si="17">G142*D142</f>
        <v>0</v>
      </c>
    </row>
    <row r="143" s="80" customFormat="1" ht="19" customHeight="1" spans="1:8">
      <c r="A143" s="94"/>
      <c r="B143" s="173"/>
      <c r="C143" s="173"/>
      <c r="D143" s="173"/>
      <c r="E143" s="174"/>
      <c r="F143" s="173"/>
      <c r="G143" s="173"/>
      <c r="H143" s="173"/>
    </row>
    <row r="144" s="80" customFormat="1" ht="18" customHeight="1" spans="1:8">
      <c r="A144" s="94"/>
      <c r="B144" s="175" t="s">
        <v>13</v>
      </c>
      <c r="C144" s="176" t="s">
        <v>117</v>
      </c>
      <c r="D144" s="176">
        <v>375</v>
      </c>
      <c r="E144" s="177">
        <v>0.6</v>
      </c>
      <c r="F144" s="175"/>
      <c r="G144" s="177">
        <f t="shared" si="16"/>
        <v>0.6</v>
      </c>
      <c r="H144" s="178">
        <f t="shared" si="17"/>
        <v>225</v>
      </c>
    </row>
    <row r="145" s="80" customFormat="1" ht="18" customHeight="1" spans="1:8">
      <c r="A145" s="94"/>
      <c r="B145" s="175" t="s">
        <v>15</v>
      </c>
      <c r="C145" s="179" t="s">
        <v>118</v>
      </c>
      <c r="D145" s="176">
        <v>138</v>
      </c>
      <c r="E145" s="177" t="s">
        <v>119</v>
      </c>
      <c r="F145" s="175" t="s">
        <v>120</v>
      </c>
      <c r="G145" s="177">
        <f t="shared" si="16"/>
        <v>1.42</v>
      </c>
      <c r="H145" s="178">
        <f t="shared" si="17"/>
        <v>195.96</v>
      </c>
    </row>
    <row r="146" s="80" customFormat="1" ht="19" customHeight="1" spans="1:8">
      <c r="A146" s="94"/>
      <c r="B146" s="180"/>
      <c r="C146" s="180"/>
      <c r="D146" s="180"/>
      <c r="E146" s="180"/>
      <c r="F146" s="180"/>
      <c r="G146" s="180"/>
      <c r="H146" s="180"/>
    </row>
    <row r="147" s="80" customFormat="1" ht="18" customHeight="1" spans="1:8">
      <c r="A147" s="94"/>
      <c r="B147" s="124" t="s">
        <v>13</v>
      </c>
      <c r="C147" s="125" t="s">
        <v>121</v>
      </c>
      <c r="D147" s="125">
        <v>337</v>
      </c>
      <c r="E147" s="126">
        <v>3</v>
      </c>
      <c r="F147" s="124"/>
      <c r="G147" s="126">
        <f t="shared" si="16"/>
        <v>3</v>
      </c>
      <c r="H147" s="127">
        <f t="shared" si="17"/>
        <v>1011</v>
      </c>
    </row>
    <row r="148" s="80" customFormat="1" ht="18" customHeight="1" spans="1:8">
      <c r="A148" s="94"/>
      <c r="B148" s="124" t="s">
        <v>15</v>
      </c>
      <c r="C148" s="125" t="s">
        <v>122</v>
      </c>
      <c r="D148" s="125">
        <v>56</v>
      </c>
      <c r="E148" s="126">
        <v>2</v>
      </c>
      <c r="F148" s="124"/>
      <c r="G148" s="126">
        <f t="shared" si="16"/>
        <v>2</v>
      </c>
      <c r="H148" s="127">
        <f t="shared" si="17"/>
        <v>112</v>
      </c>
    </row>
    <row r="149" s="80" customFormat="1" ht="19" customHeight="1" spans="1:8">
      <c r="A149" s="94"/>
      <c r="B149" s="180" t="s">
        <v>123</v>
      </c>
      <c r="C149" s="180"/>
      <c r="D149" s="180"/>
      <c r="E149" s="180"/>
      <c r="F149" s="180"/>
      <c r="G149" s="180"/>
      <c r="H149" s="180"/>
    </row>
    <row r="150" s="80" customFormat="1" ht="18" customHeight="1" spans="1:8">
      <c r="A150" s="94"/>
      <c r="B150" s="181" t="s">
        <v>13</v>
      </c>
      <c r="C150" s="182" t="s">
        <v>124</v>
      </c>
      <c r="D150" s="183"/>
      <c r="E150" s="184">
        <v>485</v>
      </c>
      <c r="F150" s="181"/>
      <c r="G150" s="184">
        <f>E150+F150</f>
        <v>485</v>
      </c>
      <c r="H150" s="185">
        <f>G150*D150</f>
        <v>0</v>
      </c>
    </row>
    <row r="151" s="80" customFormat="1" ht="18" customHeight="1" spans="1:8">
      <c r="A151" s="94"/>
      <c r="B151" s="181" t="s">
        <v>15</v>
      </c>
      <c r="C151" s="182" t="s">
        <v>125</v>
      </c>
      <c r="D151" s="183"/>
      <c r="E151" s="184">
        <v>130</v>
      </c>
      <c r="F151" s="181"/>
      <c r="G151" s="184">
        <f>E151+F151</f>
        <v>130</v>
      </c>
      <c r="H151" s="185">
        <f>G151*D151</f>
        <v>0</v>
      </c>
    </row>
    <row r="152" ht="32.25" customHeight="1" spans="1:8">
      <c r="A152" s="94"/>
      <c r="B152" s="131"/>
      <c r="C152" s="131"/>
      <c r="D152" s="132"/>
      <c r="E152" s="133"/>
      <c r="F152" s="134"/>
      <c r="G152" s="134"/>
      <c r="H152" s="134">
        <f>SUM(H12:H151)</f>
        <v>7650.83</v>
      </c>
    </row>
    <row r="153" ht="25.5" customHeight="1" spans="1:8">
      <c r="A153" s="186"/>
      <c r="B153" s="187"/>
      <c r="C153" s="188"/>
      <c r="D153" s="189"/>
      <c r="E153" s="190"/>
      <c r="F153" s="188"/>
      <c r="G153" s="188"/>
      <c r="H153" s="191"/>
    </row>
    <row r="154" ht="25.5" customHeight="1" spans="1:8">
      <c r="A154" s="94"/>
      <c r="B154" s="135" t="s">
        <v>126</v>
      </c>
      <c r="C154" s="136"/>
      <c r="D154" s="137"/>
      <c r="E154" s="138"/>
      <c r="F154" s="136"/>
      <c r="G154" s="136"/>
      <c r="H154" s="139"/>
    </row>
    <row r="155" ht="21" customHeight="1" spans="1:8">
      <c r="A155" s="94"/>
      <c r="B155" s="140" t="s">
        <v>127</v>
      </c>
      <c r="C155" s="141"/>
      <c r="D155" s="142"/>
      <c r="E155" s="143"/>
      <c r="F155" s="141"/>
      <c r="G155" s="141"/>
      <c r="H155" s="144"/>
    </row>
    <row r="156" ht="21" customHeight="1" spans="1:8">
      <c r="A156" s="192"/>
      <c r="B156" s="193">
        <f>H152</f>
        <v>7650.83</v>
      </c>
      <c r="C156" s="194"/>
      <c r="D156" s="195"/>
      <c r="E156" s="196"/>
      <c r="F156" s="194"/>
      <c r="G156" s="194"/>
      <c r="H156" s="197"/>
    </row>
    <row r="157" s="81" customFormat="1" ht="21" customHeight="1" spans="1:8">
      <c r="A157" s="146"/>
      <c r="B157" s="147" t="s">
        <v>128</v>
      </c>
      <c r="C157" s="148"/>
      <c r="D157" s="149"/>
      <c r="E157" s="150"/>
      <c r="F157" s="148"/>
      <c r="G157" s="148"/>
      <c r="H157" s="151"/>
    </row>
    <row r="158" s="81" customFormat="1" ht="21" customHeight="1" spans="1:8">
      <c r="A158" s="146"/>
      <c r="B158" s="152" t="s">
        <v>129</v>
      </c>
      <c r="C158" s="153"/>
      <c r="D158" s="153"/>
      <c r="E158" s="153"/>
      <c r="F158" s="153"/>
      <c r="G158" s="153"/>
      <c r="H158" s="154"/>
    </row>
    <row r="159" s="81" customFormat="1" ht="21" customHeight="1" spans="1:8">
      <c r="A159" s="146"/>
      <c r="B159" s="152" t="s">
        <v>130</v>
      </c>
      <c r="C159" s="153"/>
      <c r="D159" s="153"/>
      <c r="E159" s="153"/>
      <c r="F159" s="153"/>
      <c r="G159" s="153"/>
      <c r="H159" s="154"/>
    </row>
    <row r="160" s="81" customFormat="1" ht="21" customHeight="1" spans="1:8">
      <c r="A160" s="146"/>
      <c r="B160" s="152" t="s">
        <v>131</v>
      </c>
      <c r="C160" s="153"/>
      <c r="D160" s="153"/>
      <c r="E160" s="153"/>
      <c r="F160" s="153"/>
      <c r="G160" s="153"/>
      <c r="H160" s="154"/>
    </row>
    <row r="161" s="81" customFormat="1" ht="21" customHeight="1" spans="1:8">
      <c r="A161" s="146"/>
      <c r="B161" s="152" t="s">
        <v>132</v>
      </c>
      <c r="C161" s="153"/>
      <c r="D161" s="153"/>
      <c r="E161" s="153"/>
      <c r="F161" s="153"/>
      <c r="G161" s="153"/>
      <c r="H161" s="154"/>
    </row>
    <row r="162" s="81" customFormat="1" ht="21" customHeight="1" spans="1:8">
      <c r="A162" s="146"/>
      <c r="B162" s="152" t="s">
        <v>133</v>
      </c>
      <c r="C162" s="153"/>
      <c r="D162" s="153"/>
      <c r="E162" s="153"/>
      <c r="F162" s="153"/>
      <c r="G162" s="153"/>
      <c r="H162" s="154"/>
    </row>
    <row r="163" s="81" customFormat="1" ht="21" customHeight="1" spans="1:8">
      <c r="A163" s="146"/>
      <c r="B163" s="155" t="s">
        <v>134</v>
      </c>
      <c r="C163" s="156"/>
      <c r="D163" s="156"/>
      <c r="E163" s="156"/>
      <c r="F163" s="156"/>
      <c r="G163" s="156"/>
      <c r="H163" s="157"/>
    </row>
    <row r="164" s="79" customFormat="1" ht="21" customHeight="1" spans="1:8">
      <c r="A164" s="94"/>
      <c r="B164" s="158" t="s">
        <v>135</v>
      </c>
      <c r="C164" s="159"/>
      <c r="D164" s="159"/>
      <c r="E164" s="159"/>
      <c r="F164" s="159"/>
      <c r="G164" s="159"/>
      <c r="H164" s="159"/>
    </row>
    <row r="165" s="79" customFormat="1" ht="21" customHeight="1" spans="1:8">
      <c r="A165" s="94"/>
      <c r="B165" s="160" t="s">
        <v>136</v>
      </c>
      <c r="C165" s="141"/>
      <c r="D165" s="142"/>
      <c r="E165" s="141"/>
      <c r="F165" s="141"/>
      <c r="G165" s="141"/>
      <c r="H165" s="144"/>
    </row>
    <row r="166" s="79" customFormat="1" ht="21" customHeight="1" spans="1:8">
      <c r="A166" s="94"/>
      <c r="B166" s="161" t="s">
        <v>137</v>
      </c>
      <c r="C166" s="141"/>
      <c r="D166" s="142"/>
      <c r="E166" s="141"/>
      <c r="F166" s="141"/>
      <c r="G166" s="141"/>
      <c r="H166" s="144"/>
    </row>
    <row r="167" s="79" customFormat="1" ht="21" customHeight="1" spans="1:8">
      <c r="A167" s="94"/>
      <c r="B167" s="162" t="s">
        <v>138</v>
      </c>
      <c r="C167" s="141"/>
      <c r="D167" s="142"/>
      <c r="E167" s="141"/>
      <c r="F167" s="141"/>
      <c r="G167" s="141"/>
      <c r="H167" s="144"/>
    </row>
    <row r="168" s="79" customFormat="1" ht="21" customHeight="1" spans="1:8">
      <c r="A168" s="94"/>
      <c r="B168" s="162" t="s">
        <v>139</v>
      </c>
      <c r="C168" s="141"/>
      <c r="D168" s="142"/>
      <c r="E168" s="141"/>
      <c r="F168" s="141"/>
      <c r="G168" s="141"/>
      <c r="H168" s="144"/>
    </row>
    <row r="169" s="79" customFormat="1" ht="12" customHeight="1" spans="1:8">
      <c r="A169"/>
      <c r="B169" s="163"/>
      <c r="C169" s="164"/>
      <c r="D169" s="165"/>
      <c r="E169" s="164"/>
      <c r="F169" s="164"/>
      <c r="G169" s="164"/>
      <c r="H169" s="166"/>
    </row>
    <row r="170" s="79" customFormat="1" customHeight="1" spans="1:8">
      <c r="B170" s="167"/>
      <c r="C170" s="167"/>
      <c r="D170" s="168"/>
      <c r="E170" s="167"/>
      <c r="F170" s="167"/>
      <c r="G170" s="167"/>
      <c r="H170" s="167"/>
    </row>
    <row r="171" s="79" customFormat="1" customHeight="1" spans="1:8">
      <c r="D171" s="169"/>
    </row>
    <row r="172" s="79" customFormat="1" customHeight="1" spans="1:8">
      <c r="D172" s="169"/>
    </row>
  </sheetData>
  <mergeCells count="37">
    <mergeCell ref="B2:H2"/>
    <mergeCell ref="B3:D3"/>
    <mergeCell ref="E3:H3"/>
    <mergeCell ref="B4:D4"/>
    <mergeCell ref="B6:D6"/>
    <mergeCell ref="E6:H6"/>
    <mergeCell ref="B7:D7"/>
    <mergeCell ref="B8:H8"/>
    <mergeCell ref="B9:H9"/>
    <mergeCell ref="B11:H11"/>
    <mergeCell ref="B40:H40"/>
    <mergeCell ref="B62:H62"/>
    <mergeCell ref="B83:H83"/>
    <mergeCell ref="B103:H103"/>
    <mergeCell ref="B119:H119"/>
    <mergeCell ref="B126:H126"/>
    <mergeCell ref="B133:H133"/>
    <mergeCell ref="B140:H140"/>
    <mergeCell ref="B143:H143"/>
    <mergeCell ref="B146:H146"/>
    <mergeCell ref="B149:H149"/>
    <mergeCell ref="B154:H154"/>
    <mergeCell ref="B155:H155"/>
    <mergeCell ref="B156:H156"/>
    <mergeCell ref="B157:H157"/>
    <mergeCell ref="B158:H158"/>
    <mergeCell ref="B159:H159"/>
    <mergeCell ref="B160:H160"/>
    <mergeCell ref="B161:H161"/>
    <mergeCell ref="B162:H162"/>
    <mergeCell ref="B163:H163"/>
    <mergeCell ref="B164:H164"/>
    <mergeCell ref="B165:H165"/>
    <mergeCell ref="B166:H166"/>
    <mergeCell ref="B167:H167"/>
    <mergeCell ref="B168:H168"/>
    <mergeCell ref="E4:H5"/>
  </mergeCells>
  <pageMargins left="0.75" right="0.75" top="1" bottom="1" header="0" footer="0"/>
  <pageSetup paperSize="9" scale="50" orientation="portrait" useFirstPageNumber="1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785"/>
  <sheetViews>
    <sheetView workbookViewId="0">
      <selection activeCell="E26" sqref="E26"/>
    </sheetView>
  </sheetViews>
  <sheetFormatPr defaultColWidth="14.8571428571429" defaultRowHeight="13" customHeight="1"/>
  <cols>
    <col min="1" max="3" width="14.8571428571429" style="43"/>
    <col min="4" max="4" width="29.1607142857143" style="43" customWidth="1"/>
    <col min="5" max="5" width="39.7232142857143" style="43" customWidth="1"/>
    <col min="6" max="16384" width="14.8571428571429" style="43"/>
  </cols>
  <sheetData>
    <row r="1" s="43" customFormat="1" customHeight="1" spans="1:16">
      <c r="A1" s="64" t="s">
        <v>140</v>
      </c>
      <c r="B1" s="64" t="s">
        <v>141</v>
      </c>
      <c r="C1" s="64" t="s">
        <v>142</v>
      </c>
      <c r="D1" s="64" t="s">
        <v>143</v>
      </c>
      <c r="E1" s="64" t="s">
        <v>144</v>
      </c>
      <c r="F1" s="64" t="s">
        <v>145</v>
      </c>
      <c r="G1" s="64" t="s">
        <v>146</v>
      </c>
      <c r="H1" s="64" t="s">
        <v>147</v>
      </c>
      <c r="I1" s="64" t="s">
        <v>148</v>
      </c>
      <c r="J1" s="64" t="s">
        <v>149</v>
      </c>
      <c r="K1" s="64" t="s">
        <v>150</v>
      </c>
      <c r="L1" s="64" t="s">
        <v>151</v>
      </c>
      <c r="M1" s="64" t="s">
        <v>152</v>
      </c>
      <c r="N1" s="64" t="s">
        <v>153</v>
      </c>
      <c r="O1" s="64" t="s">
        <v>154</v>
      </c>
      <c r="P1" s="64" t="s">
        <v>155</v>
      </c>
    </row>
    <row r="2" s="43" customFormat="1" customHeight="1" spans="1:16">
      <c r="A2" s="67" t="s">
        <v>156</v>
      </c>
      <c r="B2" s="67">
        <v>23.9</v>
      </c>
      <c r="C2" s="67">
        <v>1</v>
      </c>
      <c r="D2" s="67" t="s">
        <v>157</v>
      </c>
      <c r="E2" s="67" t="s">
        <v>158</v>
      </c>
      <c r="F2" s="67" t="s">
        <v>12</v>
      </c>
      <c r="G2" s="67" t="s">
        <v>159</v>
      </c>
      <c r="H2" s="67" t="s">
        <v>160</v>
      </c>
      <c r="I2" s="67" t="s">
        <v>161</v>
      </c>
      <c r="J2" s="67" t="s">
        <v>162</v>
      </c>
      <c r="K2" s="67" t="s">
        <v>161</v>
      </c>
      <c r="L2" s="67" t="s">
        <v>163</v>
      </c>
      <c r="M2" s="67" t="s">
        <v>164</v>
      </c>
      <c r="N2" s="67" t="s">
        <v>164</v>
      </c>
      <c r="O2" s="67" t="s">
        <v>165</v>
      </c>
      <c r="P2" s="67" t="s">
        <v>166</v>
      </c>
    </row>
    <row r="3" s="43" customFormat="1" customHeight="1" spans="1:16">
      <c r="A3" s="67" t="s">
        <v>167</v>
      </c>
      <c r="B3" s="67">
        <v>23.9</v>
      </c>
      <c r="C3" s="67">
        <v>1</v>
      </c>
      <c r="D3" s="67" t="s">
        <v>157</v>
      </c>
      <c r="E3" s="67" t="s">
        <v>158</v>
      </c>
      <c r="F3" s="67" t="s">
        <v>12</v>
      </c>
      <c r="G3" s="67" t="s">
        <v>168</v>
      </c>
      <c r="H3" s="67" t="s">
        <v>169</v>
      </c>
      <c r="I3" s="67" t="s">
        <v>161</v>
      </c>
      <c r="J3" s="67" t="s">
        <v>162</v>
      </c>
      <c r="K3" s="67" t="s">
        <v>161</v>
      </c>
      <c r="L3" s="67" t="s">
        <v>170</v>
      </c>
      <c r="M3" s="67" t="s">
        <v>171</v>
      </c>
      <c r="N3" s="67" t="s">
        <v>171</v>
      </c>
      <c r="O3" s="67" t="s">
        <v>165</v>
      </c>
      <c r="P3" s="67" t="s">
        <v>166</v>
      </c>
    </row>
    <row r="4" s="43" customFormat="1" customHeight="1" spans="1:16">
      <c r="A4" s="67" t="s">
        <v>172</v>
      </c>
      <c r="B4" s="67">
        <v>30.8</v>
      </c>
      <c r="C4" s="67">
        <v>3</v>
      </c>
      <c r="D4" s="67" t="s">
        <v>173</v>
      </c>
      <c r="E4" s="67" t="s">
        <v>174</v>
      </c>
      <c r="F4" s="67" t="s">
        <v>78</v>
      </c>
      <c r="G4" s="67" t="s">
        <v>175</v>
      </c>
      <c r="H4" s="67" t="s">
        <v>176</v>
      </c>
      <c r="I4" s="67" t="s">
        <v>161</v>
      </c>
      <c r="J4" s="67" t="s">
        <v>161</v>
      </c>
      <c r="K4" s="67" t="s">
        <v>161</v>
      </c>
      <c r="L4" s="67" t="s">
        <v>177</v>
      </c>
      <c r="M4" s="67" t="s">
        <v>178</v>
      </c>
      <c r="N4" s="67" t="s">
        <v>178</v>
      </c>
      <c r="O4" s="67" t="s">
        <v>165</v>
      </c>
      <c r="P4" s="67" t="s">
        <v>179</v>
      </c>
    </row>
    <row r="5" s="43" customFormat="1" customHeight="1" spans="1:16">
      <c r="A5" s="67" t="s">
        <v>180</v>
      </c>
      <c r="B5" s="67">
        <v>54.7</v>
      </c>
      <c r="C5" s="67">
        <v>5</v>
      </c>
      <c r="D5" s="67" t="s">
        <v>181</v>
      </c>
      <c r="E5" s="67" t="s">
        <v>182</v>
      </c>
      <c r="F5" s="67" t="s">
        <v>12</v>
      </c>
      <c r="G5" s="67" t="s">
        <v>183</v>
      </c>
      <c r="H5" s="67" t="s">
        <v>184</v>
      </c>
      <c r="I5" s="67" t="s">
        <v>161</v>
      </c>
      <c r="J5" s="67" t="s">
        <v>161</v>
      </c>
      <c r="K5" s="67" t="s">
        <v>161</v>
      </c>
      <c r="L5" s="67" t="s">
        <v>185</v>
      </c>
      <c r="M5" s="67" t="s">
        <v>186</v>
      </c>
      <c r="N5" s="67" t="s">
        <v>186</v>
      </c>
      <c r="O5" s="67" t="s">
        <v>165</v>
      </c>
      <c r="P5" s="67" t="s">
        <v>187</v>
      </c>
    </row>
    <row r="6" s="43" customFormat="1" customHeight="1" spans="1:16">
      <c r="A6" s="67" t="s">
        <v>188</v>
      </c>
      <c r="B6" s="67">
        <v>35.7</v>
      </c>
      <c r="C6" s="67">
        <v>4</v>
      </c>
      <c r="D6" s="67" t="s">
        <v>189</v>
      </c>
      <c r="E6" s="67" t="s">
        <v>190</v>
      </c>
      <c r="F6" s="67" t="s">
        <v>12</v>
      </c>
      <c r="G6" s="67" t="s">
        <v>191</v>
      </c>
      <c r="H6" s="67" t="s">
        <v>192</v>
      </c>
      <c r="I6" s="67" t="s">
        <v>161</v>
      </c>
      <c r="J6" s="67" t="s">
        <v>161</v>
      </c>
      <c r="K6" s="67" t="s">
        <v>161</v>
      </c>
      <c r="L6" s="67" t="s">
        <v>193</v>
      </c>
      <c r="M6" s="67" t="s">
        <v>194</v>
      </c>
      <c r="N6" s="67" t="s">
        <v>194</v>
      </c>
      <c r="O6" s="67" t="s">
        <v>165</v>
      </c>
      <c r="P6" s="67" t="s">
        <v>195</v>
      </c>
    </row>
    <row r="7" s="43" customFormat="1" customHeight="1" spans="1:16">
      <c r="A7" s="67" t="s">
        <v>196</v>
      </c>
      <c r="B7" s="67">
        <v>35.7</v>
      </c>
      <c r="C7" s="67">
        <v>4</v>
      </c>
      <c r="D7" s="67" t="s">
        <v>189</v>
      </c>
      <c r="E7" s="67" t="s">
        <v>190</v>
      </c>
      <c r="F7" s="67" t="s">
        <v>12</v>
      </c>
      <c r="G7" s="67" t="s">
        <v>197</v>
      </c>
      <c r="H7" s="67" t="s">
        <v>198</v>
      </c>
      <c r="I7" s="67" t="s">
        <v>161</v>
      </c>
      <c r="J7" s="67" t="s">
        <v>161</v>
      </c>
      <c r="K7" s="67" t="s">
        <v>161</v>
      </c>
      <c r="L7" s="67" t="s">
        <v>199</v>
      </c>
      <c r="M7" s="67" t="s">
        <v>200</v>
      </c>
      <c r="N7" s="67" t="s">
        <v>200</v>
      </c>
      <c r="O7" s="67" t="s">
        <v>165</v>
      </c>
      <c r="P7" s="67" t="s">
        <v>201</v>
      </c>
    </row>
    <row r="8" s="43" customFormat="1" customHeight="1" spans="1:16">
      <c r="A8" s="67" t="s">
        <v>202</v>
      </c>
      <c r="B8" s="67">
        <v>66.5</v>
      </c>
      <c r="C8" s="67">
        <v>6</v>
      </c>
      <c r="D8" s="67" t="s">
        <v>203</v>
      </c>
      <c r="E8" s="67" t="s">
        <v>204</v>
      </c>
      <c r="F8" s="67" t="s">
        <v>12</v>
      </c>
      <c r="G8" s="67" t="s">
        <v>205</v>
      </c>
      <c r="H8" s="67" t="s">
        <v>206</v>
      </c>
      <c r="I8" s="67" t="s">
        <v>161</v>
      </c>
      <c r="J8" s="67" t="s">
        <v>161</v>
      </c>
      <c r="K8" s="67" t="s">
        <v>161</v>
      </c>
      <c r="L8" s="67" t="s">
        <v>207</v>
      </c>
      <c r="M8" s="67" t="s">
        <v>208</v>
      </c>
      <c r="N8" s="67" t="s">
        <v>208</v>
      </c>
      <c r="O8" s="67" t="s">
        <v>165</v>
      </c>
      <c r="P8" s="67" t="s">
        <v>209</v>
      </c>
    </row>
    <row r="9" s="43" customFormat="1" customHeight="1" spans="1:16">
      <c r="A9" s="67" t="s">
        <v>210</v>
      </c>
      <c r="B9" s="67">
        <v>54.75</v>
      </c>
      <c r="C9" s="67">
        <v>5</v>
      </c>
      <c r="D9" s="67" t="s">
        <v>211</v>
      </c>
      <c r="E9" s="67" t="s">
        <v>212</v>
      </c>
      <c r="F9" s="67" t="s">
        <v>12</v>
      </c>
      <c r="G9" s="67" t="s">
        <v>213</v>
      </c>
      <c r="H9" s="67" t="s">
        <v>214</v>
      </c>
      <c r="I9" s="67" t="s">
        <v>161</v>
      </c>
      <c r="J9" s="67" t="s">
        <v>161</v>
      </c>
      <c r="K9" s="67" t="s">
        <v>161</v>
      </c>
      <c r="L9" s="67" t="s">
        <v>215</v>
      </c>
      <c r="M9" s="67" t="s">
        <v>216</v>
      </c>
      <c r="N9" s="67" t="s">
        <v>216</v>
      </c>
      <c r="O9" s="67" t="s">
        <v>165</v>
      </c>
      <c r="P9" s="67" t="s">
        <v>217</v>
      </c>
    </row>
    <row r="10" s="43" customFormat="1" customHeight="1" spans="1:16">
      <c r="A10" s="67" t="s">
        <v>218</v>
      </c>
      <c r="B10" s="67">
        <v>77.72</v>
      </c>
      <c r="C10" s="67">
        <v>10</v>
      </c>
      <c r="D10" s="67" t="s">
        <v>219</v>
      </c>
      <c r="E10" s="67" t="s">
        <v>220</v>
      </c>
      <c r="F10" s="67" t="s">
        <v>98</v>
      </c>
      <c r="G10" s="67" t="s">
        <v>221</v>
      </c>
      <c r="H10" s="67" t="s">
        <v>222</v>
      </c>
      <c r="I10" s="67" t="s">
        <v>161</v>
      </c>
      <c r="J10" s="67" t="s">
        <v>161</v>
      </c>
      <c r="K10" s="67" t="s">
        <v>161</v>
      </c>
      <c r="L10" s="67" t="s">
        <v>223</v>
      </c>
      <c r="M10" s="67" t="s">
        <v>224</v>
      </c>
      <c r="N10" s="67" t="s">
        <v>224</v>
      </c>
      <c r="O10" s="67" t="s">
        <v>165</v>
      </c>
      <c r="P10" s="67" t="s">
        <v>225</v>
      </c>
    </row>
    <row r="11" s="43" customFormat="1" customHeight="1" spans="1:16">
      <c r="A11" s="67" t="s">
        <v>226</v>
      </c>
      <c r="B11" s="67">
        <v>77.72</v>
      </c>
      <c r="C11" s="67">
        <v>10</v>
      </c>
      <c r="D11" s="67" t="s">
        <v>219</v>
      </c>
      <c r="E11" s="67" t="s">
        <v>220</v>
      </c>
      <c r="F11" s="67" t="s">
        <v>98</v>
      </c>
      <c r="G11" s="67" t="s">
        <v>221</v>
      </c>
      <c r="H11" s="67" t="s">
        <v>227</v>
      </c>
      <c r="I11" s="67" t="s">
        <v>161</v>
      </c>
      <c r="J11" s="67" t="s">
        <v>161</v>
      </c>
      <c r="K11" s="67" t="s">
        <v>228</v>
      </c>
      <c r="L11" s="67" t="s">
        <v>223</v>
      </c>
      <c r="M11" s="67" t="s">
        <v>229</v>
      </c>
      <c r="N11" s="67" t="s">
        <v>229</v>
      </c>
      <c r="O11" s="67" t="s">
        <v>165</v>
      </c>
      <c r="P11" s="67" t="s">
        <v>230</v>
      </c>
    </row>
    <row r="12" s="43" customFormat="1" customHeight="1" spans="1:16">
      <c r="A12" s="67" t="s">
        <v>231</v>
      </c>
      <c r="B12" s="67">
        <v>26.89</v>
      </c>
      <c r="C12" s="67">
        <v>2</v>
      </c>
      <c r="D12" s="67" t="s">
        <v>232</v>
      </c>
      <c r="E12" s="67" t="s">
        <v>233</v>
      </c>
      <c r="F12" s="67" t="s">
        <v>12</v>
      </c>
      <c r="G12" s="67" t="s">
        <v>234</v>
      </c>
      <c r="H12" s="67" t="s">
        <v>235</v>
      </c>
      <c r="I12" s="67" t="s">
        <v>161</v>
      </c>
      <c r="J12" s="67" t="s">
        <v>161</v>
      </c>
      <c r="K12" s="67" t="s">
        <v>161</v>
      </c>
      <c r="L12" s="67" t="s">
        <v>236</v>
      </c>
      <c r="M12" s="67" t="s">
        <v>237</v>
      </c>
      <c r="N12" s="67" t="s">
        <v>237</v>
      </c>
      <c r="O12" s="67" t="s">
        <v>165</v>
      </c>
      <c r="P12" s="67" t="s">
        <v>238</v>
      </c>
    </row>
    <row r="13" s="43" customFormat="1" customHeight="1" spans="1:16">
      <c r="A13" s="67" t="s">
        <v>239</v>
      </c>
      <c r="B13" s="67">
        <v>26.89</v>
      </c>
      <c r="C13" s="67">
        <v>2</v>
      </c>
      <c r="D13" s="67" t="s">
        <v>232</v>
      </c>
      <c r="E13" s="67" t="s">
        <v>233</v>
      </c>
      <c r="F13" s="67" t="s">
        <v>12</v>
      </c>
      <c r="G13" s="67" t="s">
        <v>240</v>
      </c>
      <c r="H13" s="67" t="s">
        <v>241</v>
      </c>
      <c r="I13" s="67" t="s">
        <v>161</v>
      </c>
      <c r="J13" s="67" t="s">
        <v>161</v>
      </c>
      <c r="K13" s="67" t="s">
        <v>161</v>
      </c>
      <c r="L13" s="67" t="s">
        <v>242</v>
      </c>
      <c r="M13" s="67" t="s">
        <v>243</v>
      </c>
      <c r="N13" s="67" t="s">
        <v>243</v>
      </c>
      <c r="O13" s="67" t="s">
        <v>165</v>
      </c>
      <c r="P13" s="67" t="s">
        <v>244</v>
      </c>
    </row>
    <row r="14" s="43" customFormat="1" customHeight="1" spans="1:16">
      <c r="A14" s="67" t="s">
        <v>245</v>
      </c>
      <c r="B14" s="67">
        <v>30.85</v>
      </c>
      <c r="C14" s="67">
        <v>3</v>
      </c>
      <c r="D14" s="67" t="s">
        <v>246</v>
      </c>
      <c r="E14" s="67" t="s">
        <v>247</v>
      </c>
      <c r="F14" s="67" t="s">
        <v>12</v>
      </c>
      <c r="G14" s="67" t="s">
        <v>248</v>
      </c>
      <c r="H14" s="67" t="s">
        <v>249</v>
      </c>
      <c r="I14" s="67" t="s">
        <v>161</v>
      </c>
      <c r="J14" s="67" t="s">
        <v>161</v>
      </c>
      <c r="K14" s="67" t="s">
        <v>161</v>
      </c>
      <c r="L14" s="67" t="s">
        <v>250</v>
      </c>
      <c r="M14" s="67" t="s">
        <v>251</v>
      </c>
      <c r="N14" s="67" t="s">
        <v>251</v>
      </c>
      <c r="O14" s="67" t="s">
        <v>165</v>
      </c>
      <c r="P14" s="67" t="s">
        <v>252</v>
      </c>
    </row>
    <row r="15" s="43" customFormat="1" customHeight="1" spans="1:16">
      <c r="A15" s="67" t="s">
        <v>253</v>
      </c>
      <c r="B15" s="67">
        <v>26.89</v>
      </c>
      <c r="C15" s="67">
        <v>2</v>
      </c>
      <c r="D15" s="67" t="s">
        <v>232</v>
      </c>
      <c r="E15" s="67" t="s">
        <v>254</v>
      </c>
      <c r="F15" s="67" t="s">
        <v>12</v>
      </c>
      <c r="G15" s="67" t="s">
        <v>255</v>
      </c>
      <c r="H15" s="67" t="s">
        <v>256</v>
      </c>
      <c r="I15" s="67" t="s">
        <v>161</v>
      </c>
      <c r="J15" s="67" t="s">
        <v>161</v>
      </c>
      <c r="K15" s="67" t="s">
        <v>161</v>
      </c>
      <c r="L15" s="67" t="s">
        <v>257</v>
      </c>
      <c r="M15" s="67" t="s">
        <v>258</v>
      </c>
      <c r="N15" s="67" t="s">
        <v>258</v>
      </c>
      <c r="O15" s="67" t="s">
        <v>165</v>
      </c>
      <c r="P15" s="67" t="s">
        <v>259</v>
      </c>
    </row>
    <row r="16" s="43" customFormat="1" customHeight="1" spans="1:16">
      <c r="A16" s="67" t="s">
        <v>260</v>
      </c>
      <c r="B16" s="67">
        <v>47.8</v>
      </c>
      <c r="C16" s="67">
        <v>4</v>
      </c>
      <c r="D16" s="67" t="s">
        <v>261</v>
      </c>
      <c r="E16" s="67" t="s">
        <v>262</v>
      </c>
      <c r="F16" s="67" t="s">
        <v>12</v>
      </c>
      <c r="G16" s="67" t="s">
        <v>263</v>
      </c>
      <c r="H16" s="67" t="s">
        <v>264</v>
      </c>
      <c r="I16" s="67" t="s">
        <v>161</v>
      </c>
      <c r="J16" s="67" t="s">
        <v>161</v>
      </c>
      <c r="K16" s="67" t="s">
        <v>161</v>
      </c>
      <c r="L16" s="67" t="s">
        <v>265</v>
      </c>
      <c r="M16" s="67" t="s">
        <v>266</v>
      </c>
      <c r="N16" s="67" t="s">
        <v>266</v>
      </c>
      <c r="O16" s="67" t="s">
        <v>165</v>
      </c>
      <c r="P16" s="67" t="s">
        <v>267</v>
      </c>
    </row>
    <row r="17" s="43" customFormat="1" customHeight="1" spans="1:16">
      <c r="A17" s="67" t="s">
        <v>268</v>
      </c>
      <c r="B17" s="67">
        <v>26.89</v>
      </c>
      <c r="C17" s="67">
        <v>2</v>
      </c>
      <c r="D17" s="67" t="s">
        <v>232</v>
      </c>
      <c r="E17" s="67" t="s">
        <v>269</v>
      </c>
      <c r="F17" s="67" t="s">
        <v>12</v>
      </c>
      <c r="G17" s="67" t="s">
        <v>270</v>
      </c>
      <c r="H17" s="67" t="s">
        <v>271</v>
      </c>
      <c r="I17" s="67" t="s">
        <v>161</v>
      </c>
      <c r="J17" s="67" t="s">
        <v>161</v>
      </c>
      <c r="K17" s="67" t="s">
        <v>161</v>
      </c>
      <c r="L17" s="67" t="s">
        <v>272</v>
      </c>
      <c r="M17" s="67" t="s">
        <v>273</v>
      </c>
      <c r="N17" s="67" t="s">
        <v>273</v>
      </c>
      <c r="O17" s="67" t="s">
        <v>165</v>
      </c>
      <c r="P17" s="67" t="s">
        <v>274</v>
      </c>
    </row>
    <row r="18" s="43" customFormat="1" customHeight="1" spans="1:16">
      <c r="A18" s="67" t="s">
        <v>275</v>
      </c>
      <c r="B18" s="67">
        <v>59.6</v>
      </c>
      <c r="C18" s="67">
        <v>6</v>
      </c>
      <c r="D18" s="67" t="s">
        <v>276</v>
      </c>
      <c r="E18" s="67" t="s">
        <v>277</v>
      </c>
      <c r="F18" s="67" t="s">
        <v>12</v>
      </c>
      <c r="G18" s="67" t="s">
        <v>278</v>
      </c>
      <c r="H18" s="67" t="s">
        <v>279</v>
      </c>
      <c r="I18" s="67" t="s">
        <v>161</v>
      </c>
      <c r="J18" s="67" t="s">
        <v>161</v>
      </c>
      <c r="K18" s="67" t="s">
        <v>161</v>
      </c>
      <c r="L18" s="67" t="s">
        <v>280</v>
      </c>
      <c r="M18" s="67" t="s">
        <v>281</v>
      </c>
      <c r="N18" s="67" t="s">
        <v>281</v>
      </c>
      <c r="O18" s="67" t="s">
        <v>165</v>
      </c>
      <c r="P18" s="67" t="s">
        <v>282</v>
      </c>
    </row>
    <row r="19" s="43" customFormat="1" customHeight="1" spans="1:16">
      <c r="A19" s="67" t="s">
        <v>283</v>
      </c>
      <c r="B19" s="67">
        <v>35.7</v>
      </c>
      <c r="C19" s="67">
        <v>4</v>
      </c>
      <c r="D19" s="67" t="s">
        <v>189</v>
      </c>
      <c r="E19" s="67" t="s">
        <v>190</v>
      </c>
      <c r="F19" s="67" t="s">
        <v>12</v>
      </c>
      <c r="G19" s="67" t="s">
        <v>284</v>
      </c>
      <c r="H19" s="67" t="s">
        <v>285</v>
      </c>
      <c r="I19" s="67" t="s">
        <v>161</v>
      </c>
      <c r="J19" s="67" t="s">
        <v>161</v>
      </c>
      <c r="K19" s="67" t="s">
        <v>161</v>
      </c>
      <c r="L19" s="67" t="s">
        <v>286</v>
      </c>
      <c r="M19" s="67" t="s">
        <v>287</v>
      </c>
      <c r="N19" s="67" t="s">
        <v>287</v>
      </c>
      <c r="O19" s="67" t="s">
        <v>165</v>
      </c>
      <c r="P19" s="67" t="s">
        <v>288</v>
      </c>
    </row>
    <row r="20" s="43" customFormat="1" customHeight="1" spans="1:16">
      <c r="A20" s="67" t="s">
        <v>289</v>
      </c>
      <c r="B20" s="67">
        <v>47.8</v>
      </c>
      <c r="C20" s="67">
        <v>4</v>
      </c>
      <c r="D20" s="67" t="s">
        <v>290</v>
      </c>
      <c r="E20" s="67" t="s">
        <v>291</v>
      </c>
      <c r="F20" s="67" t="s">
        <v>12</v>
      </c>
      <c r="G20" s="67" t="s">
        <v>292</v>
      </c>
      <c r="H20" s="67" t="s">
        <v>293</v>
      </c>
      <c r="I20" s="67" t="s">
        <v>161</v>
      </c>
      <c r="J20" s="67" t="s">
        <v>161</v>
      </c>
      <c r="K20" s="67" t="s">
        <v>161</v>
      </c>
      <c r="L20" s="67" t="s">
        <v>294</v>
      </c>
      <c r="M20" s="67" t="s">
        <v>295</v>
      </c>
      <c r="N20" s="67" t="s">
        <v>295</v>
      </c>
      <c r="O20" s="67" t="s">
        <v>165</v>
      </c>
      <c r="P20" s="67" t="s">
        <v>296</v>
      </c>
    </row>
    <row r="21" s="43" customFormat="1" customHeight="1" spans="1:16">
      <c r="A21" s="67" t="s">
        <v>297</v>
      </c>
      <c r="B21" s="67">
        <v>26.89</v>
      </c>
      <c r="C21" s="67">
        <v>2</v>
      </c>
      <c r="D21" s="67" t="s">
        <v>232</v>
      </c>
      <c r="E21" s="67" t="s">
        <v>233</v>
      </c>
      <c r="F21" s="67" t="s">
        <v>12</v>
      </c>
      <c r="G21" s="67" t="s">
        <v>298</v>
      </c>
      <c r="H21" s="67" t="s">
        <v>299</v>
      </c>
      <c r="I21" s="67" t="s">
        <v>161</v>
      </c>
      <c r="J21" s="67" t="s">
        <v>300</v>
      </c>
      <c r="K21" s="67" t="s">
        <v>161</v>
      </c>
      <c r="L21" s="67" t="s">
        <v>301</v>
      </c>
      <c r="M21" s="67" t="s">
        <v>302</v>
      </c>
      <c r="N21" s="67" t="s">
        <v>302</v>
      </c>
      <c r="O21" s="67" t="s">
        <v>165</v>
      </c>
      <c r="P21" s="67" t="s">
        <v>303</v>
      </c>
    </row>
    <row r="22" s="43" customFormat="1" customHeight="1" spans="1:16">
      <c r="A22" s="67" t="s">
        <v>304</v>
      </c>
      <c r="B22" s="67">
        <v>26.89</v>
      </c>
      <c r="C22" s="67">
        <v>2</v>
      </c>
      <c r="D22" s="67" t="s">
        <v>232</v>
      </c>
      <c r="E22" s="67" t="s">
        <v>233</v>
      </c>
      <c r="F22" s="67" t="s">
        <v>12</v>
      </c>
      <c r="G22" s="67" t="s">
        <v>305</v>
      </c>
      <c r="H22" s="67" t="s">
        <v>306</v>
      </c>
      <c r="I22" s="67" t="s">
        <v>161</v>
      </c>
      <c r="J22" s="67" t="s">
        <v>161</v>
      </c>
      <c r="K22" s="67" t="s">
        <v>161</v>
      </c>
      <c r="L22" s="67" t="s">
        <v>307</v>
      </c>
      <c r="M22" s="67" t="s">
        <v>308</v>
      </c>
      <c r="N22" s="67" t="s">
        <v>308</v>
      </c>
      <c r="O22" s="67" t="s">
        <v>165</v>
      </c>
      <c r="P22" s="67" t="s">
        <v>309</v>
      </c>
    </row>
    <row r="23" s="43" customFormat="1" customHeight="1" spans="1:16">
      <c r="A23" s="67" t="s">
        <v>310</v>
      </c>
      <c r="B23" s="67">
        <v>26.89</v>
      </c>
      <c r="C23" s="67">
        <v>2</v>
      </c>
      <c r="D23" s="67" t="s">
        <v>232</v>
      </c>
      <c r="E23" s="67" t="s">
        <v>233</v>
      </c>
      <c r="F23" s="67" t="s">
        <v>12</v>
      </c>
      <c r="G23" s="67" t="s">
        <v>311</v>
      </c>
      <c r="H23" s="67" t="s">
        <v>312</v>
      </c>
      <c r="I23" s="67" t="s">
        <v>161</v>
      </c>
      <c r="J23" s="67" t="s">
        <v>161</v>
      </c>
      <c r="K23" s="67" t="s">
        <v>161</v>
      </c>
      <c r="L23" s="67" t="s">
        <v>313</v>
      </c>
      <c r="M23" s="67" t="s">
        <v>314</v>
      </c>
      <c r="N23" s="67" t="s">
        <v>314</v>
      </c>
      <c r="O23" s="67" t="s">
        <v>165</v>
      </c>
      <c r="P23" s="67" t="s">
        <v>315</v>
      </c>
    </row>
    <row r="24" s="43" customFormat="1" customHeight="1" spans="1:16">
      <c r="A24" s="67" t="s">
        <v>316</v>
      </c>
      <c r="B24" s="67">
        <v>26.89</v>
      </c>
      <c r="C24" s="67">
        <v>2</v>
      </c>
      <c r="D24" s="67" t="s">
        <v>232</v>
      </c>
      <c r="E24" s="67" t="s">
        <v>317</v>
      </c>
      <c r="F24" s="67" t="s">
        <v>12</v>
      </c>
      <c r="G24" s="67" t="s">
        <v>318</v>
      </c>
      <c r="H24" s="67" t="s">
        <v>319</v>
      </c>
      <c r="I24" s="67" t="s">
        <v>161</v>
      </c>
      <c r="J24" s="67" t="s">
        <v>161</v>
      </c>
      <c r="K24" s="67" t="s">
        <v>161</v>
      </c>
      <c r="L24" s="67" t="s">
        <v>320</v>
      </c>
      <c r="M24" s="67" t="s">
        <v>321</v>
      </c>
      <c r="N24" s="67" t="s">
        <v>321</v>
      </c>
      <c r="O24" s="67" t="s">
        <v>165</v>
      </c>
      <c r="P24" s="67" t="s">
        <v>322</v>
      </c>
    </row>
    <row r="25" s="43" customFormat="1" customHeight="1" spans="1:16">
      <c r="A25" s="67" t="s">
        <v>323</v>
      </c>
      <c r="B25" s="67">
        <v>30.8</v>
      </c>
      <c r="C25" s="67">
        <v>3</v>
      </c>
      <c r="D25" s="67" t="s">
        <v>173</v>
      </c>
      <c r="E25" s="67" t="s">
        <v>324</v>
      </c>
      <c r="F25" s="67" t="s">
        <v>12</v>
      </c>
      <c r="G25" s="67" t="s">
        <v>325</v>
      </c>
      <c r="H25" s="67" t="s">
        <v>326</v>
      </c>
      <c r="I25" s="67" t="s">
        <v>161</v>
      </c>
      <c r="J25" s="67" t="s">
        <v>161</v>
      </c>
      <c r="K25" s="67" t="s">
        <v>161</v>
      </c>
      <c r="L25" s="67" t="s">
        <v>327</v>
      </c>
      <c r="M25" s="67" t="s">
        <v>328</v>
      </c>
      <c r="N25" s="67" t="s">
        <v>328</v>
      </c>
      <c r="O25" s="67" t="s">
        <v>165</v>
      </c>
      <c r="P25" s="67" t="s">
        <v>329</v>
      </c>
    </row>
    <row r="26" s="43" customFormat="1" customHeight="1" spans="1:16">
      <c r="A26" s="67" t="s">
        <v>330</v>
      </c>
      <c r="B26" s="67">
        <v>30.85</v>
      </c>
      <c r="C26" s="67">
        <v>3</v>
      </c>
      <c r="D26" s="67" t="s">
        <v>246</v>
      </c>
      <c r="E26" s="67" t="s">
        <v>331</v>
      </c>
      <c r="F26" s="67" t="s">
        <v>78</v>
      </c>
      <c r="G26" s="67" t="s">
        <v>332</v>
      </c>
      <c r="H26" s="67" t="s">
        <v>333</v>
      </c>
      <c r="I26" s="67" t="s">
        <v>161</v>
      </c>
      <c r="J26" s="67" t="s">
        <v>161</v>
      </c>
      <c r="K26" s="67" t="s">
        <v>161</v>
      </c>
      <c r="L26" s="67" t="s">
        <v>334</v>
      </c>
      <c r="M26" s="67" t="s">
        <v>335</v>
      </c>
      <c r="N26" s="67" t="s">
        <v>335</v>
      </c>
      <c r="O26" s="67" t="s">
        <v>165</v>
      </c>
      <c r="P26" s="67" t="s">
        <v>336</v>
      </c>
    </row>
    <row r="27" s="43" customFormat="1" customHeight="1" spans="1:16">
      <c r="A27" s="67" t="s">
        <v>337</v>
      </c>
      <c r="B27" s="67">
        <v>25.7</v>
      </c>
      <c r="C27" s="67">
        <v>2</v>
      </c>
      <c r="D27" s="67" t="s">
        <v>232</v>
      </c>
      <c r="E27" s="67" t="s">
        <v>317</v>
      </c>
      <c r="F27" s="67" t="s">
        <v>12</v>
      </c>
      <c r="G27" s="67" t="s">
        <v>338</v>
      </c>
      <c r="H27" s="67" t="s">
        <v>339</v>
      </c>
      <c r="I27" s="67" t="s">
        <v>161</v>
      </c>
      <c r="J27" s="67" t="s">
        <v>161</v>
      </c>
      <c r="K27" s="67" t="s">
        <v>161</v>
      </c>
      <c r="L27" s="67" t="s">
        <v>340</v>
      </c>
      <c r="M27" s="67" t="s">
        <v>341</v>
      </c>
      <c r="N27" s="67" t="s">
        <v>341</v>
      </c>
      <c r="O27" s="67" t="s">
        <v>165</v>
      </c>
      <c r="P27" s="67" t="s">
        <v>342</v>
      </c>
    </row>
    <row r="28" s="43" customFormat="1" customHeight="1" spans="1:16">
      <c r="A28" s="67" t="s">
        <v>343</v>
      </c>
      <c r="B28" s="67">
        <v>30.85</v>
      </c>
      <c r="C28" s="67">
        <v>3</v>
      </c>
      <c r="D28" s="67" t="s">
        <v>246</v>
      </c>
      <c r="E28" s="67" t="s">
        <v>247</v>
      </c>
      <c r="F28" s="67" t="s">
        <v>12</v>
      </c>
      <c r="G28" s="67" t="s">
        <v>344</v>
      </c>
      <c r="H28" s="67" t="s">
        <v>345</v>
      </c>
      <c r="I28" s="67" t="s">
        <v>161</v>
      </c>
      <c r="J28" s="67" t="s">
        <v>161</v>
      </c>
      <c r="K28" s="67" t="s">
        <v>161</v>
      </c>
      <c r="L28" s="67" t="s">
        <v>346</v>
      </c>
      <c r="M28" s="67" t="s">
        <v>347</v>
      </c>
      <c r="N28" s="67" t="s">
        <v>347</v>
      </c>
      <c r="O28" s="67" t="s">
        <v>165</v>
      </c>
      <c r="P28" s="67" t="s">
        <v>348</v>
      </c>
    </row>
    <row r="29" s="43" customFormat="1" customHeight="1" spans="1:16">
      <c r="A29" s="67" t="s">
        <v>349</v>
      </c>
      <c r="B29" s="67">
        <v>26.89</v>
      </c>
      <c r="C29" s="67">
        <v>2</v>
      </c>
      <c r="D29" s="67" t="s">
        <v>232</v>
      </c>
      <c r="E29" s="67" t="s">
        <v>233</v>
      </c>
      <c r="F29" s="67" t="s">
        <v>12</v>
      </c>
      <c r="G29" s="67" t="s">
        <v>350</v>
      </c>
      <c r="H29" s="67" t="s">
        <v>351</v>
      </c>
      <c r="I29" s="67" t="s">
        <v>161</v>
      </c>
      <c r="J29" s="67" t="s">
        <v>161</v>
      </c>
      <c r="K29" s="67" t="s">
        <v>161</v>
      </c>
      <c r="L29" s="67" t="s">
        <v>352</v>
      </c>
      <c r="M29" s="67" t="s">
        <v>353</v>
      </c>
      <c r="N29" s="67" t="s">
        <v>353</v>
      </c>
      <c r="O29" s="67" t="s">
        <v>165</v>
      </c>
      <c r="P29" s="67" t="s">
        <v>354</v>
      </c>
    </row>
    <row r="30" s="43" customFormat="1" customHeight="1" spans="1:16">
      <c r="A30" s="67" t="s">
        <v>355</v>
      </c>
      <c r="B30" s="67">
        <v>26.89</v>
      </c>
      <c r="C30" s="67">
        <v>2</v>
      </c>
      <c r="D30" s="67" t="s">
        <v>356</v>
      </c>
      <c r="E30" s="67" t="s">
        <v>357</v>
      </c>
      <c r="F30" s="67" t="s">
        <v>12</v>
      </c>
      <c r="G30" s="67" t="s">
        <v>358</v>
      </c>
      <c r="H30" s="67" t="s">
        <v>359</v>
      </c>
      <c r="I30" s="67" t="s">
        <v>161</v>
      </c>
      <c r="J30" s="67" t="s">
        <v>161</v>
      </c>
      <c r="K30" s="67" t="s">
        <v>161</v>
      </c>
      <c r="L30" s="67" t="s">
        <v>360</v>
      </c>
      <c r="M30" s="67" t="s">
        <v>361</v>
      </c>
      <c r="N30" s="67" t="s">
        <v>361</v>
      </c>
      <c r="O30" s="67" t="s">
        <v>165</v>
      </c>
      <c r="P30" s="67" t="s">
        <v>362</v>
      </c>
    </row>
    <row r="31" s="43" customFormat="1" customHeight="1" spans="1:16">
      <c r="A31" s="67" t="s">
        <v>363</v>
      </c>
      <c r="B31" s="67">
        <v>26.89</v>
      </c>
      <c r="C31" s="67">
        <v>2</v>
      </c>
      <c r="D31" s="67" t="s">
        <v>364</v>
      </c>
      <c r="E31" s="67" t="s">
        <v>365</v>
      </c>
      <c r="F31" s="67" t="s">
        <v>12</v>
      </c>
      <c r="G31" s="67" t="s">
        <v>366</v>
      </c>
      <c r="H31" s="67" t="s">
        <v>367</v>
      </c>
      <c r="I31" s="67" t="s">
        <v>161</v>
      </c>
      <c r="J31" s="67" t="s">
        <v>161</v>
      </c>
      <c r="K31" s="67" t="s">
        <v>161</v>
      </c>
      <c r="L31" s="67" t="s">
        <v>368</v>
      </c>
      <c r="M31" s="67" t="s">
        <v>369</v>
      </c>
      <c r="N31" s="67" t="s">
        <v>369</v>
      </c>
      <c r="O31" s="67" t="s">
        <v>165</v>
      </c>
      <c r="P31" s="67" t="s">
        <v>370</v>
      </c>
    </row>
    <row r="32" s="43" customFormat="1" customHeight="1" spans="1:16">
      <c r="A32" s="67" t="s">
        <v>371</v>
      </c>
      <c r="B32" s="67">
        <v>61.6</v>
      </c>
      <c r="C32" s="67">
        <v>7</v>
      </c>
      <c r="D32" s="67" t="s">
        <v>372</v>
      </c>
      <c r="E32" s="67" t="s">
        <v>373</v>
      </c>
      <c r="F32" s="67" t="s">
        <v>12</v>
      </c>
      <c r="G32" s="67" t="s">
        <v>374</v>
      </c>
      <c r="H32" s="67" t="s">
        <v>375</v>
      </c>
      <c r="I32" s="67" t="s">
        <v>161</v>
      </c>
      <c r="J32" s="67" t="s">
        <v>161</v>
      </c>
      <c r="K32" s="67" t="s">
        <v>161</v>
      </c>
      <c r="L32" s="67" t="s">
        <v>376</v>
      </c>
      <c r="M32" s="67" t="s">
        <v>377</v>
      </c>
      <c r="N32" s="67" t="s">
        <v>377</v>
      </c>
      <c r="O32" s="67" t="s">
        <v>165</v>
      </c>
      <c r="P32" s="67" t="s">
        <v>378</v>
      </c>
    </row>
    <row r="33" s="43" customFormat="1" customHeight="1" spans="1:16">
      <c r="A33" s="67" t="s">
        <v>379</v>
      </c>
      <c r="B33" s="67">
        <v>35.7</v>
      </c>
      <c r="C33" s="67">
        <v>4</v>
      </c>
      <c r="D33" s="67" t="s">
        <v>380</v>
      </c>
      <c r="E33" s="67" t="s">
        <v>381</v>
      </c>
      <c r="F33" s="67" t="s">
        <v>12</v>
      </c>
      <c r="G33" s="67" t="s">
        <v>382</v>
      </c>
      <c r="H33" s="67" t="s">
        <v>383</v>
      </c>
      <c r="I33" s="67" t="s">
        <v>161</v>
      </c>
      <c r="J33" s="67" t="s">
        <v>161</v>
      </c>
      <c r="K33" s="67" t="s">
        <v>161</v>
      </c>
      <c r="L33" s="67" t="s">
        <v>384</v>
      </c>
      <c r="M33" s="67" t="s">
        <v>385</v>
      </c>
      <c r="N33" s="67" t="s">
        <v>385</v>
      </c>
      <c r="O33" s="67" t="s">
        <v>165</v>
      </c>
      <c r="P33" s="67" t="s">
        <v>386</v>
      </c>
    </row>
    <row r="34" s="43" customFormat="1" customHeight="1" spans="1:16">
      <c r="A34" s="67" t="s">
        <v>387</v>
      </c>
      <c r="B34" s="67">
        <v>26.89</v>
      </c>
      <c r="C34" s="67">
        <v>2</v>
      </c>
      <c r="D34" s="67" t="s">
        <v>232</v>
      </c>
      <c r="E34" s="67" t="s">
        <v>233</v>
      </c>
      <c r="F34" s="67" t="s">
        <v>12</v>
      </c>
      <c r="G34" s="67" t="s">
        <v>388</v>
      </c>
      <c r="H34" s="67" t="s">
        <v>389</v>
      </c>
      <c r="I34" s="67" t="s">
        <v>161</v>
      </c>
      <c r="J34" s="67" t="s">
        <v>161</v>
      </c>
      <c r="K34" s="67" t="s">
        <v>161</v>
      </c>
      <c r="L34" s="67" t="s">
        <v>390</v>
      </c>
      <c r="M34" s="67" t="s">
        <v>391</v>
      </c>
      <c r="N34" s="67" t="s">
        <v>391</v>
      </c>
      <c r="O34" s="67" t="s">
        <v>165</v>
      </c>
      <c r="P34" s="67" t="s">
        <v>392</v>
      </c>
    </row>
    <row r="35" s="43" customFormat="1" customHeight="1" spans="1:16">
      <c r="A35" s="67" t="s">
        <v>393</v>
      </c>
      <c r="B35" s="67">
        <v>33.59</v>
      </c>
      <c r="C35" s="67">
        <v>3</v>
      </c>
      <c r="D35" s="67" t="s">
        <v>246</v>
      </c>
      <c r="E35" s="67" t="s">
        <v>331</v>
      </c>
      <c r="F35" s="67" t="s">
        <v>98</v>
      </c>
      <c r="G35" s="67" t="s">
        <v>394</v>
      </c>
      <c r="H35" s="67" t="s">
        <v>395</v>
      </c>
      <c r="I35" s="67" t="s">
        <v>161</v>
      </c>
      <c r="J35" s="67" t="s">
        <v>161</v>
      </c>
      <c r="K35" s="67" t="s">
        <v>396</v>
      </c>
      <c r="L35" s="67" t="s">
        <v>397</v>
      </c>
      <c r="M35" s="67" t="s">
        <v>398</v>
      </c>
      <c r="N35" s="67" t="s">
        <v>398</v>
      </c>
      <c r="O35" s="67" t="s">
        <v>165</v>
      </c>
      <c r="P35" s="67" t="s">
        <v>399</v>
      </c>
    </row>
    <row r="36" s="43" customFormat="1" customHeight="1" spans="1:16">
      <c r="A36" s="67" t="s">
        <v>400</v>
      </c>
      <c r="B36" s="67">
        <v>30.8</v>
      </c>
      <c r="C36" s="67">
        <v>3</v>
      </c>
      <c r="D36" s="67" t="s">
        <v>173</v>
      </c>
      <c r="E36" s="67" t="s">
        <v>174</v>
      </c>
      <c r="F36" s="67" t="s">
        <v>12</v>
      </c>
      <c r="G36" s="67" t="s">
        <v>401</v>
      </c>
      <c r="H36" s="67" t="s">
        <v>402</v>
      </c>
      <c r="I36" s="67" t="s">
        <v>161</v>
      </c>
      <c r="J36" s="67" t="s">
        <v>161</v>
      </c>
      <c r="K36" s="67" t="s">
        <v>161</v>
      </c>
      <c r="L36" s="67" t="s">
        <v>403</v>
      </c>
      <c r="M36" s="67" t="s">
        <v>404</v>
      </c>
      <c r="N36" s="67" t="s">
        <v>404</v>
      </c>
      <c r="O36" s="67" t="s">
        <v>165</v>
      </c>
      <c r="P36" s="67" t="s">
        <v>405</v>
      </c>
    </row>
    <row r="37" s="43" customFormat="1" customHeight="1" spans="1:16">
      <c r="A37" s="67" t="s">
        <v>406</v>
      </c>
      <c r="B37" s="67">
        <v>54.75</v>
      </c>
      <c r="C37" s="67">
        <v>5</v>
      </c>
      <c r="D37" s="67" t="s">
        <v>407</v>
      </c>
      <c r="E37" s="67" t="s">
        <v>408</v>
      </c>
      <c r="F37" s="67" t="s">
        <v>12</v>
      </c>
      <c r="G37" s="67" t="s">
        <v>409</v>
      </c>
      <c r="H37" s="67" t="s">
        <v>410</v>
      </c>
      <c r="I37" s="67" t="s">
        <v>161</v>
      </c>
      <c r="J37" s="67" t="s">
        <v>161</v>
      </c>
      <c r="K37" s="67" t="s">
        <v>161</v>
      </c>
      <c r="L37" s="67" t="s">
        <v>411</v>
      </c>
      <c r="M37" s="67" t="s">
        <v>412</v>
      </c>
      <c r="N37" s="67" t="s">
        <v>412</v>
      </c>
      <c r="O37" s="67" t="s">
        <v>165</v>
      </c>
      <c r="P37" s="67" t="s">
        <v>413</v>
      </c>
    </row>
    <row r="38" s="43" customFormat="1" customHeight="1" spans="1:16">
      <c r="A38" s="67" t="s">
        <v>414</v>
      </c>
      <c r="B38" s="67">
        <v>30.85</v>
      </c>
      <c r="C38" s="67">
        <v>3</v>
      </c>
      <c r="D38" s="67" t="s">
        <v>246</v>
      </c>
      <c r="E38" s="67" t="s">
        <v>331</v>
      </c>
      <c r="F38" s="67" t="s">
        <v>12</v>
      </c>
      <c r="G38" s="67" t="s">
        <v>415</v>
      </c>
      <c r="H38" s="67" t="s">
        <v>416</v>
      </c>
      <c r="I38" s="67" t="s">
        <v>161</v>
      </c>
      <c r="J38" s="67" t="s">
        <v>161</v>
      </c>
      <c r="K38" s="67" t="s">
        <v>161</v>
      </c>
      <c r="L38" s="67" t="s">
        <v>417</v>
      </c>
      <c r="M38" s="67" t="s">
        <v>418</v>
      </c>
      <c r="N38" s="67" t="s">
        <v>418</v>
      </c>
      <c r="O38" s="67" t="s">
        <v>165</v>
      </c>
      <c r="P38" s="67" t="s">
        <v>419</v>
      </c>
    </row>
    <row r="39" s="43" customFormat="1" customHeight="1" spans="1:16">
      <c r="A39" s="67" t="s">
        <v>420</v>
      </c>
      <c r="B39" s="67">
        <v>61.7</v>
      </c>
      <c r="C39" s="67">
        <v>5</v>
      </c>
      <c r="D39" s="67" t="s">
        <v>421</v>
      </c>
      <c r="E39" s="67" t="s">
        <v>422</v>
      </c>
      <c r="F39" s="67" t="s">
        <v>78</v>
      </c>
      <c r="G39" s="67" t="s">
        <v>423</v>
      </c>
      <c r="H39" s="67" t="s">
        <v>424</v>
      </c>
      <c r="I39" s="67" t="s">
        <v>161</v>
      </c>
      <c r="J39" s="67" t="s">
        <v>161</v>
      </c>
      <c r="K39" s="67" t="s">
        <v>161</v>
      </c>
      <c r="L39" s="67" t="s">
        <v>425</v>
      </c>
      <c r="M39" s="67" t="s">
        <v>426</v>
      </c>
      <c r="N39" s="67" t="s">
        <v>426</v>
      </c>
      <c r="O39" s="67" t="s">
        <v>165</v>
      </c>
      <c r="P39" s="67" t="s">
        <v>427</v>
      </c>
    </row>
    <row r="40" s="43" customFormat="1" customHeight="1" spans="1:16">
      <c r="A40" s="67" t="s">
        <v>428</v>
      </c>
      <c r="B40" s="67">
        <v>30.8</v>
      </c>
      <c r="C40" s="67">
        <v>3</v>
      </c>
      <c r="D40" s="67" t="s">
        <v>173</v>
      </c>
      <c r="E40" s="67" t="s">
        <v>174</v>
      </c>
      <c r="F40" s="67" t="s">
        <v>78</v>
      </c>
      <c r="G40" s="67" t="s">
        <v>429</v>
      </c>
      <c r="H40" s="67" t="s">
        <v>430</v>
      </c>
      <c r="I40" s="67" t="s">
        <v>161</v>
      </c>
      <c r="J40" s="67" t="s">
        <v>161</v>
      </c>
      <c r="K40" s="67" t="s">
        <v>161</v>
      </c>
      <c r="L40" s="67" t="s">
        <v>431</v>
      </c>
      <c r="M40" s="67" t="s">
        <v>432</v>
      </c>
      <c r="N40" s="67" t="s">
        <v>432</v>
      </c>
      <c r="O40" s="67" t="s">
        <v>165</v>
      </c>
      <c r="P40" s="67" t="s">
        <v>433</v>
      </c>
    </row>
    <row r="41" s="171" customFormat="1" customHeight="1" spans="1:16">
      <c r="A41" s="67" t="s">
        <v>434</v>
      </c>
      <c r="B41" s="67">
        <v>59.54</v>
      </c>
      <c r="C41" s="67">
        <v>5</v>
      </c>
      <c r="D41" s="67" t="s">
        <v>435</v>
      </c>
      <c r="E41" s="67" t="s">
        <v>436</v>
      </c>
      <c r="F41" s="67" t="s">
        <v>98</v>
      </c>
      <c r="G41" s="67" t="s">
        <v>437</v>
      </c>
      <c r="H41" s="67" t="s">
        <v>161</v>
      </c>
      <c r="I41" s="67" t="s">
        <v>161</v>
      </c>
      <c r="J41" s="67" t="s">
        <v>161</v>
      </c>
      <c r="K41" s="67" t="s">
        <v>161</v>
      </c>
      <c r="L41" s="67" t="s">
        <v>438</v>
      </c>
      <c r="M41" s="67" t="s">
        <v>439</v>
      </c>
      <c r="N41" s="67" t="s">
        <v>439</v>
      </c>
      <c r="O41" s="67" t="s">
        <v>165</v>
      </c>
      <c r="P41" s="67" t="s">
        <v>161</v>
      </c>
    </row>
    <row r="42" s="43" customFormat="1" customHeight="1" spans="1:16">
      <c r="A42" s="67" t="s">
        <v>440</v>
      </c>
      <c r="B42" s="67">
        <v>47.8</v>
      </c>
      <c r="C42" s="67">
        <v>4</v>
      </c>
      <c r="D42" s="67" t="s">
        <v>261</v>
      </c>
      <c r="E42" s="67" t="s">
        <v>441</v>
      </c>
      <c r="F42" s="67" t="s">
        <v>12</v>
      </c>
      <c r="G42" s="67" t="s">
        <v>442</v>
      </c>
      <c r="H42" s="67" t="s">
        <v>443</v>
      </c>
      <c r="I42" s="67" t="s">
        <v>161</v>
      </c>
      <c r="J42" s="67" t="s">
        <v>161</v>
      </c>
      <c r="K42" s="67" t="s">
        <v>161</v>
      </c>
      <c r="L42" s="67" t="s">
        <v>444</v>
      </c>
      <c r="M42" s="67" t="s">
        <v>445</v>
      </c>
      <c r="N42" s="67" t="s">
        <v>445</v>
      </c>
      <c r="O42" s="67" t="s">
        <v>165</v>
      </c>
      <c r="P42" s="67" t="s">
        <v>446</v>
      </c>
    </row>
    <row r="43" s="43" customFormat="1" customHeight="1" spans="1:16">
      <c r="A43" s="67" t="s">
        <v>447</v>
      </c>
      <c r="B43" s="67">
        <v>30.8</v>
      </c>
      <c r="C43" s="67">
        <v>3</v>
      </c>
      <c r="D43" s="67" t="s">
        <v>173</v>
      </c>
      <c r="E43" s="67" t="s">
        <v>324</v>
      </c>
      <c r="F43" s="67" t="s">
        <v>12</v>
      </c>
      <c r="G43" s="67" t="s">
        <v>448</v>
      </c>
      <c r="H43" s="67" t="s">
        <v>449</v>
      </c>
      <c r="I43" s="67" t="s">
        <v>161</v>
      </c>
      <c r="J43" s="67" t="s">
        <v>161</v>
      </c>
      <c r="K43" s="67" t="s">
        <v>161</v>
      </c>
      <c r="L43" s="67" t="s">
        <v>450</v>
      </c>
      <c r="M43" s="67" t="s">
        <v>451</v>
      </c>
      <c r="N43" s="67" t="s">
        <v>451</v>
      </c>
      <c r="O43" s="67" t="s">
        <v>165</v>
      </c>
      <c r="P43" s="67" t="s">
        <v>452</v>
      </c>
    </row>
    <row r="44" s="43" customFormat="1" customHeight="1" spans="1:16">
      <c r="A44" s="67" t="s">
        <v>453</v>
      </c>
      <c r="B44" s="67">
        <v>30.85</v>
      </c>
      <c r="C44" s="67">
        <v>3</v>
      </c>
      <c r="D44" s="67" t="s">
        <v>246</v>
      </c>
      <c r="E44" s="67" t="s">
        <v>331</v>
      </c>
      <c r="F44" s="67" t="s">
        <v>78</v>
      </c>
      <c r="G44" s="67" t="s">
        <v>454</v>
      </c>
      <c r="H44" s="67" t="s">
        <v>455</v>
      </c>
      <c r="I44" s="67" t="s">
        <v>161</v>
      </c>
      <c r="J44" s="67" t="s">
        <v>161</v>
      </c>
      <c r="K44" s="67" t="s">
        <v>161</v>
      </c>
      <c r="L44" s="67" t="s">
        <v>456</v>
      </c>
      <c r="M44" s="67" t="s">
        <v>457</v>
      </c>
      <c r="N44" s="67" t="s">
        <v>457</v>
      </c>
      <c r="O44" s="67" t="s">
        <v>165</v>
      </c>
      <c r="P44" s="67" t="s">
        <v>230</v>
      </c>
    </row>
    <row r="45" s="43" customFormat="1" customHeight="1" spans="1:16">
      <c r="A45" s="67" t="s">
        <v>458</v>
      </c>
      <c r="B45" s="67">
        <v>26.89</v>
      </c>
      <c r="C45" s="67">
        <v>2</v>
      </c>
      <c r="D45" s="67" t="s">
        <v>232</v>
      </c>
      <c r="E45" s="67" t="s">
        <v>269</v>
      </c>
      <c r="F45" s="67" t="s">
        <v>12</v>
      </c>
      <c r="G45" s="67" t="s">
        <v>459</v>
      </c>
      <c r="H45" s="67" t="s">
        <v>460</v>
      </c>
      <c r="I45" s="67" t="s">
        <v>161</v>
      </c>
      <c r="J45" s="67" t="s">
        <v>161</v>
      </c>
      <c r="K45" s="67" t="s">
        <v>161</v>
      </c>
      <c r="L45" s="67" t="s">
        <v>461</v>
      </c>
      <c r="M45" s="67" t="s">
        <v>462</v>
      </c>
      <c r="N45" s="67" t="s">
        <v>462</v>
      </c>
      <c r="O45" s="67" t="s">
        <v>165</v>
      </c>
      <c r="P45" s="67" t="s">
        <v>463</v>
      </c>
    </row>
    <row r="46" s="43" customFormat="1" customHeight="1" spans="1:16">
      <c r="A46" s="67" t="s">
        <v>464</v>
      </c>
      <c r="B46" s="67">
        <v>58.57</v>
      </c>
      <c r="C46" s="67">
        <v>6</v>
      </c>
      <c r="D46" s="67" t="s">
        <v>465</v>
      </c>
      <c r="E46" s="67" t="s">
        <v>466</v>
      </c>
      <c r="F46" s="67" t="s">
        <v>12</v>
      </c>
      <c r="G46" s="67" t="s">
        <v>467</v>
      </c>
      <c r="H46" s="67" t="s">
        <v>468</v>
      </c>
      <c r="I46" s="67" t="s">
        <v>161</v>
      </c>
      <c r="J46" s="67" t="s">
        <v>161</v>
      </c>
      <c r="K46" s="67" t="s">
        <v>161</v>
      </c>
      <c r="L46" s="67" t="s">
        <v>469</v>
      </c>
      <c r="M46" s="67" t="s">
        <v>470</v>
      </c>
      <c r="N46" s="67" t="s">
        <v>470</v>
      </c>
      <c r="O46" s="67" t="s">
        <v>165</v>
      </c>
      <c r="P46" s="67" t="s">
        <v>471</v>
      </c>
    </row>
    <row r="47" s="43" customFormat="1" customHeight="1" spans="1:16">
      <c r="A47" s="67" t="s">
        <v>472</v>
      </c>
      <c r="B47" s="67">
        <v>34.34</v>
      </c>
      <c r="C47" s="67">
        <v>2</v>
      </c>
      <c r="D47" s="67" t="s">
        <v>232</v>
      </c>
      <c r="E47" s="67" t="s">
        <v>269</v>
      </c>
      <c r="F47" s="67" t="s">
        <v>12</v>
      </c>
      <c r="G47" s="67" t="s">
        <v>473</v>
      </c>
      <c r="H47" s="67" t="s">
        <v>474</v>
      </c>
      <c r="I47" s="67" t="s">
        <v>161</v>
      </c>
      <c r="J47" s="67" t="s">
        <v>161</v>
      </c>
      <c r="K47" s="67" t="s">
        <v>161</v>
      </c>
      <c r="L47" s="67" t="s">
        <v>475</v>
      </c>
      <c r="M47" s="67" t="s">
        <v>476</v>
      </c>
      <c r="N47" s="67" t="s">
        <v>476</v>
      </c>
      <c r="O47" s="67" t="s">
        <v>165</v>
      </c>
      <c r="P47" s="67" t="s">
        <v>477</v>
      </c>
    </row>
    <row r="48" s="43" customFormat="1" customHeight="1" spans="1:16">
      <c r="A48" s="67" t="s">
        <v>478</v>
      </c>
      <c r="B48" s="67">
        <v>61.6</v>
      </c>
      <c r="C48" s="67">
        <v>6</v>
      </c>
      <c r="D48" s="67" t="s">
        <v>479</v>
      </c>
      <c r="E48" s="67" t="s">
        <v>480</v>
      </c>
      <c r="F48" s="67" t="s">
        <v>12</v>
      </c>
      <c r="G48" s="67" t="s">
        <v>481</v>
      </c>
      <c r="H48" s="67" t="s">
        <v>482</v>
      </c>
      <c r="I48" s="67" t="s">
        <v>161</v>
      </c>
      <c r="J48" s="67" t="s">
        <v>161</v>
      </c>
      <c r="K48" s="67" t="s">
        <v>483</v>
      </c>
      <c r="L48" s="67" t="s">
        <v>484</v>
      </c>
      <c r="M48" s="67" t="s">
        <v>485</v>
      </c>
      <c r="N48" s="67" t="s">
        <v>485</v>
      </c>
      <c r="O48" s="67" t="s">
        <v>165</v>
      </c>
      <c r="P48" s="67" t="s">
        <v>486</v>
      </c>
    </row>
    <row r="49" s="43" customFormat="1" customHeight="1" spans="1:16">
      <c r="A49" s="67" t="s">
        <v>487</v>
      </c>
      <c r="B49" s="67">
        <v>30.85</v>
      </c>
      <c r="C49" s="67">
        <v>3</v>
      </c>
      <c r="D49" s="67" t="s">
        <v>246</v>
      </c>
      <c r="E49" s="67" t="s">
        <v>247</v>
      </c>
      <c r="F49" s="67" t="s">
        <v>12</v>
      </c>
      <c r="G49" s="67" t="s">
        <v>488</v>
      </c>
      <c r="H49" s="67" t="s">
        <v>489</v>
      </c>
      <c r="I49" s="67" t="s">
        <v>161</v>
      </c>
      <c r="J49" s="67" t="s">
        <v>161</v>
      </c>
      <c r="K49" s="67" t="s">
        <v>161</v>
      </c>
      <c r="L49" s="67" t="s">
        <v>490</v>
      </c>
      <c r="M49" s="67" t="s">
        <v>491</v>
      </c>
      <c r="N49" s="67" t="s">
        <v>491</v>
      </c>
      <c r="O49" s="67" t="s">
        <v>165</v>
      </c>
      <c r="P49" s="67" t="s">
        <v>492</v>
      </c>
    </row>
    <row r="50" s="43" customFormat="1" customHeight="1" spans="1:16">
      <c r="A50" s="67" t="s">
        <v>493</v>
      </c>
      <c r="B50" s="67">
        <v>72.48</v>
      </c>
      <c r="C50" s="67">
        <v>6</v>
      </c>
      <c r="D50" s="67" t="s">
        <v>494</v>
      </c>
      <c r="E50" s="67" t="s">
        <v>495</v>
      </c>
      <c r="F50" s="67" t="s">
        <v>98</v>
      </c>
      <c r="G50" s="67" t="s">
        <v>496</v>
      </c>
      <c r="H50" s="67" t="s">
        <v>497</v>
      </c>
      <c r="I50" s="67" t="s">
        <v>161</v>
      </c>
      <c r="J50" s="67" t="s">
        <v>161</v>
      </c>
      <c r="K50" s="67" t="s">
        <v>161</v>
      </c>
      <c r="L50" s="67" t="s">
        <v>498</v>
      </c>
      <c r="M50" s="67" t="s">
        <v>499</v>
      </c>
      <c r="N50" s="67" t="s">
        <v>499</v>
      </c>
      <c r="O50" s="67" t="s">
        <v>165</v>
      </c>
      <c r="P50" s="67" t="s">
        <v>500</v>
      </c>
    </row>
    <row r="51" s="43" customFormat="1" customHeight="1" spans="1:16">
      <c r="A51" s="67" t="s">
        <v>501</v>
      </c>
      <c r="B51" s="67">
        <v>42.95</v>
      </c>
      <c r="C51" s="67">
        <v>4</v>
      </c>
      <c r="D51" s="67" t="s">
        <v>502</v>
      </c>
      <c r="E51" s="67" t="s">
        <v>503</v>
      </c>
      <c r="F51" s="67" t="s">
        <v>12</v>
      </c>
      <c r="G51" s="67" t="s">
        <v>504</v>
      </c>
      <c r="H51" s="67" t="s">
        <v>505</v>
      </c>
      <c r="I51" s="67" t="s">
        <v>161</v>
      </c>
      <c r="J51" s="67" t="s">
        <v>161</v>
      </c>
      <c r="K51" s="67" t="s">
        <v>161</v>
      </c>
      <c r="L51" s="67" t="s">
        <v>506</v>
      </c>
      <c r="M51" s="67" t="s">
        <v>507</v>
      </c>
      <c r="N51" s="67" t="s">
        <v>507</v>
      </c>
      <c r="O51" s="67" t="s">
        <v>165</v>
      </c>
      <c r="P51" s="67" t="s">
        <v>508</v>
      </c>
    </row>
    <row r="52" s="43" customFormat="1" customHeight="1" spans="1:16">
      <c r="A52" s="67" t="s">
        <v>509</v>
      </c>
      <c r="B52" s="67">
        <v>34.34</v>
      </c>
      <c r="C52" s="67">
        <v>2</v>
      </c>
      <c r="D52" s="67" t="s">
        <v>232</v>
      </c>
      <c r="E52" s="67" t="s">
        <v>269</v>
      </c>
      <c r="F52" s="67" t="s">
        <v>12</v>
      </c>
      <c r="G52" s="67" t="s">
        <v>510</v>
      </c>
      <c r="H52" s="67" t="s">
        <v>511</v>
      </c>
      <c r="I52" s="67" t="s">
        <v>161</v>
      </c>
      <c r="J52" s="67" t="s">
        <v>161</v>
      </c>
      <c r="K52" s="67" t="s">
        <v>161</v>
      </c>
      <c r="L52" s="67" t="s">
        <v>512</v>
      </c>
      <c r="M52" s="67" t="s">
        <v>513</v>
      </c>
      <c r="N52" s="67" t="s">
        <v>513</v>
      </c>
      <c r="O52" s="67" t="s">
        <v>165</v>
      </c>
      <c r="P52" s="67" t="s">
        <v>514</v>
      </c>
    </row>
    <row r="53" s="43" customFormat="1" customHeight="1" spans="1:16">
      <c r="A53" s="67" t="s">
        <v>515</v>
      </c>
      <c r="B53" s="67">
        <v>26.89</v>
      </c>
      <c r="C53" s="67">
        <v>2</v>
      </c>
      <c r="D53" s="67" t="s">
        <v>232</v>
      </c>
      <c r="E53" s="67" t="s">
        <v>269</v>
      </c>
      <c r="F53" s="67" t="s">
        <v>12</v>
      </c>
      <c r="G53" s="67" t="s">
        <v>516</v>
      </c>
      <c r="H53" s="67" t="s">
        <v>517</v>
      </c>
      <c r="I53" s="67" t="s">
        <v>161</v>
      </c>
      <c r="J53" s="67" t="s">
        <v>161</v>
      </c>
      <c r="K53" s="67" t="s">
        <v>161</v>
      </c>
      <c r="L53" s="67" t="s">
        <v>518</v>
      </c>
      <c r="M53" s="67" t="s">
        <v>519</v>
      </c>
      <c r="N53" s="67" t="s">
        <v>519</v>
      </c>
      <c r="O53" s="67" t="s">
        <v>165</v>
      </c>
      <c r="P53" s="67" t="s">
        <v>520</v>
      </c>
    </row>
    <row r="54" s="43" customFormat="1" customHeight="1" spans="1:16">
      <c r="A54" s="67" t="s">
        <v>521</v>
      </c>
      <c r="B54" s="67">
        <v>31.4</v>
      </c>
      <c r="C54" s="67">
        <v>3</v>
      </c>
      <c r="D54" s="67" t="s">
        <v>522</v>
      </c>
      <c r="E54" s="67" t="s">
        <v>523</v>
      </c>
      <c r="F54" s="67" t="s">
        <v>90</v>
      </c>
      <c r="G54" s="67" t="s">
        <v>524</v>
      </c>
      <c r="H54" s="67" t="s">
        <v>525</v>
      </c>
      <c r="I54" s="67" t="s">
        <v>161</v>
      </c>
      <c r="J54" s="67" t="s">
        <v>161</v>
      </c>
      <c r="K54" s="67" t="s">
        <v>161</v>
      </c>
      <c r="L54" s="67" t="s">
        <v>526</v>
      </c>
      <c r="M54" s="67" t="s">
        <v>527</v>
      </c>
      <c r="N54" s="67" t="s">
        <v>527</v>
      </c>
      <c r="O54" s="67" t="s">
        <v>165</v>
      </c>
      <c r="P54" s="67" t="s">
        <v>528</v>
      </c>
    </row>
    <row r="55" s="43" customFormat="1" customHeight="1" spans="1:16">
      <c r="A55" s="67" t="s">
        <v>529</v>
      </c>
      <c r="B55" s="67">
        <v>30.85</v>
      </c>
      <c r="C55" s="67">
        <v>3</v>
      </c>
      <c r="D55" s="67" t="s">
        <v>530</v>
      </c>
      <c r="E55" s="67" t="s">
        <v>531</v>
      </c>
      <c r="F55" s="67" t="s">
        <v>12</v>
      </c>
      <c r="G55" s="67" t="s">
        <v>532</v>
      </c>
      <c r="H55" s="67" t="s">
        <v>533</v>
      </c>
      <c r="I55" s="67" t="s">
        <v>161</v>
      </c>
      <c r="J55" s="67" t="s">
        <v>161</v>
      </c>
      <c r="K55" s="67" t="s">
        <v>161</v>
      </c>
      <c r="L55" s="67" t="s">
        <v>534</v>
      </c>
      <c r="M55" s="67" t="s">
        <v>535</v>
      </c>
      <c r="N55" s="67" t="s">
        <v>535</v>
      </c>
      <c r="O55" s="67" t="s">
        <v>165</v>
      </c>
      <c r="P55" s="67" t="s">
        <v>536</v>
      </c>
    </row>
    <row r="56" s="43" customFormat="1" customHeight="1" spans="1:16">
      <c r="A56" s="67" t="s">
        <v>537</v>
      </c>
      <c r="B56" s="67">
        <v>18.89</v>
      </c>
      <c r="C56" s="67">
        <v>2</v>
      </c>
      <c r="D56" s="67" t="s">
        <v>538</v>
      </c>
      <c r="E56" s="67" t="s">
        <v>539</v>
      </c>
      <c r="F56" s="67" t="s">
        <v>12</v>
      </c>
      <c r="G56" s="67" t="s">
        <v>540</v>
      </c>
      <c r="H56" s="67" t="s">
        <v>541</v>
      </c>
      <c r="I56" s="67" t="s">
        <v>161</v>
      </c>
      <c r="J56" s="67" t="s">
        <v>161</v>
      </c>
      <c r="K56" s="67" t="s">
        <v>161</v>
      </c>
      <c r="L56" s="67" t="s">
        <v>542</v>
      </c>
      <c r="M56" s="67" t="s">
        <v>543</v>
      </c>
      <c r="N56" s="67" t="s">
        <v>543</v>
      </c>
      <c r="O56" s="67" t="s">
        <v>165</v>
      </c>
      <c r="P56" s="67" t="s">
        <v>544</v>
      </c>
    </row>
    <row r="57" s="43" customFormat="1" customHeight="1" spans="1:16">
      <c r="A57" s="67" t="s">
        <v>545</v>
      </c>
      <c r="B57" s="67">
        <v>26.89</v>
      </c>
      <c r="C57" s="67">
        <v>2</v>
      </c>
      <c r="D57" s="67" t="s">
        <v>232</v>
      </c>
      <c r="E57" s="67" t="s">
        <v>546</v>
      </c>
      <c r="F57" s="67" t="s">
        <v>78</v>
      </c>
      <c r="G57" s="67" t="s">
        <v>547</v>
      </c>
      <c r="H57" s="67" t="s">
        <v>548</v>
      </c>
      <c r="I57" s="67" t="s">
        <v>161</v>
      </c>
      <c r="J57" s="67" t="s">
        <v>161</v>
      </c>
      <c r="K57" s="67" t="s">
        <v>161</v>
      </c>
      <c r="L57" s="67" t="s">
        <v>549</v>
      </c>
      <c r="M57" s="67" t="s">
        <v>550</v>
      </c>
      <c r="N57" s="67" t="s">
        <v>550</v>
      </c>
      <c r="O57" s="67" t="s">
        <v>165</v>
      </c>
      <c r="P57" s="67" t="s">
        <v>528</v>
      </c>
    </row>
    <row r="58" s="43" customFormat="1" customHeight="1" spans="1:16">
      <c r="A58" s="67" t="s">
        <v>551</v>
      </c>
      <c r="B58" s="67">
        <v>33.55</v>
      </c>
      <c r="C58" s="67">
        <v>3</v>
      </c>
      <c r="D58" s="67" t="s">
        <v>246</v>
      </c>
      <c r="E58" s="67" t="s">
        <v>247</v>
      </c>
      <c r="F58" s="67" t="s">
        <v>98</v>
      </c>
      <c r="G58" s="67" t="s">
        <v>552</v>
      </c>
      <c r="H58" s="67" t="s">
        <v>553</v>
      </c>
      <c r="I58" s="67" t="s">
        <v>161</v>
      </c>
      <c r="J58" s="67" t="s">
        <v>161</v>
      </c>
      <c r="K58" s="67" t="s">
        <v>161</v>
      </c>
      <c r="L58" s="67" t="s">
        <v>554</v>
      </c>
      <c r="M58" s="67" t="s">
        <v>555</v>
      </c>
      <c r="N58" s="67" t="s">
        <v>555</v>
      </c>
      <c r="O58" s="67" t="s">
        <v>165</v>
      </c>
      <c r="P58" s="67" t="s">
        <v>556</v>
      </c>
    </row>
    <row r="59" s="43" customFormat="1" customHeight="1" spans="1:16">
      <c r="A59" s="67" t="s">
        <v>557</v>
      </c>
      <c r="B59" s="67">
        <v>26.89</v>
      </c>
      <c r="C59" s="67">
        <v>2</v>
      </c>
      <c r="D59" s="67" t="s">
        <v>232</v>
      </c>
      <c r="E59" s="67" t="s">
        <v>317</v>
      </c>
      <c r="F59" s="67" t="s">
        <v>12</v>
      </c>
      <c r="G59" s="67" t="s">
        <v>558</v>
      </c>
      <c r="H59" s="67" t="s">
        <v>559</v>
      </c>
      <c r="I59" s="67" t="s">
        <v>161</v>
      </c>
      <c r="J59" s="67" t="s">
        <v>161</v>
      </c>
      <c r="K59" s="67" t="s">
        <v>560</v>
      </c>
      <c r="L59" s="67" t="s">
        <v>561</v>
      </c>
      <c r="M59" s="67" t="s">
        <v>562</v>
      </c>
      <c r="N59" s="67" t="s">
        <v>562</v>
      </c>
      <c r="O59" s="67" t="s">
        <v>165</v>
      </c>
      <c r="P59" s="67" t="s">
        <v>563</v>
      </c>
    </row>
    <row r="60" s="43" customFormat="1" customHeight="1" spans="1:16">
      <c r="A60" s="67" t="s">
        <v>564</v>
      </c>
      <c r="B60" s="67">
        <v>38.71</v>
      </c>
      <c r="C60" s="67">
        <v>4</v>
      </c>
      <c r="D60" s="67" t="s">
        <v>565</v>
      </c>
      <c r="E60" s="67" t="s">
        <v>566</v>
      </c>
      <c r="F60" s="67" t="s">
        <v>98</v>
      </c>
      <c r="G60" s="67" t="s">
        <v>567</v>
      </c>
      <c r="H60" s="67" t="s">
        <v>568</v>
      </c>
      <c r="I60" s="67" t="s">
        <v>161</v>
      </c>
      <c r="J60" s="67" t="s">
        <v>161</v>
      </c>
      <c r="K60" s="67" t="s">
        <v>161</v>
      </c>
      <c r="L60" s="67" t="s">
        <v>569</v>
      </c>
      <c r="M60" s="67" t="s">
        <v>570</v>
      </c>
      <c r="N60" s="67" t="s">
        <v>570</v>
      </c>
      <c r="O60" s="67" t="s">
        <v>165</v>
      </c>
      <c r="P60" s="67" t="s">
        <v>571</v>
      </c>
    </row>
    <row r="61" s="43" customFormat="1" customHeight="1" spans="1:16">
      <c r="A61" s="67" t="s">
        <v>572</v>
      </c>
      <c r="B61" s="67">
        <v>26.89</v>
      </c>
      <c r="C61" s="67">
        <v>2</v>
      </c>
      <c r="D61" s="67" t="s">
        <v>232</v>
      </c>
      <c r="E61" s="67" t="s">
        <v>233</v>
      </c>
      <c r="F61" s="67" t="s">
        <v>12</v>
      </c>
      <c r="G61" s="67" t="s">
        <v>573</v>
      </c>
      <c r="H61" s="67" t="s">
        <v>574</v>
      </c>
      <c r="I61" s="67" t="s">
        <v>161</v>
      </c>
      <c r="J61" s="67" t="s">
        <v>161</v>
      </c>
      <c r="K61" s="67" t="s">
        <v>161</v>
      </c>
      <c r="L61" s="67" t="s">
        <v>575</v>
      </c>
      <c r="M61" s="67" t="s">
        <v>576</v>
      </c>
      <c r="N61" s="67" t="s">
        <v>576</v>
      </c>
      <c r="O61" s="67" t="s">
        <v>165</v>
      </c>
      <c r="P61" s="67" t="s">
        <v>577</v>
      </c>
    </row>
    <row r="62" s="43" customFormat="1" customHeight="1" spans="1:16">
      <c r="A62" s="67" t="s">
        <v>578</v>
      </c>
      <c r="B62" s="67">
        <v>26.89</v>
      </c>
      <c r="C62" s="67">
        <v>2</v>
      </c>
      <c r="D62" s="67" t="s">
        <v>232</v>
      </c>
      <c r="E62" s="67" t="s">
        <v>254</v>
      </c>
      <c r="F62" s="67" t="s">
        <v>12</v>
      </c>
      <c r="G62" s="67" t="s">
        <v>579</v>
      </c>
      <c r="H62" s="67" t="s">
        <v>580</v>
      </c>
      <c r="I62" s="67" t="s">
        <v>161</v>
      </c>
      <c r="J62" s="67" t="s">
        <v>161</v>
      </c>
      <c r="K62" s="67" t="s">
        <v>161</v>
      </c>
      <c r="L62" s="67" t="s">
        <v>581</v>
      </c>
      <c r="M62" s="67" t="s">
        <v>582</v>
      </c>
      <c r="N62" s="67" t="s">
        <v>582</v>
      </c>
      <c r="O62" s="67" t="s">
        <v>165</v>
      </c>
      <c r="P62" s="67" t="s">
        <v>583</v>
      </c>
    </row>
    <row r="63" s="43" customFormat="1" customHeight="1" spans="1:16">
      <c r="A63" s="67" t="s">
        <v>584</v>
      </c>
      <c r="B63" s="67">
        <v>47.8</v>
      </c>
      <c r="C63" s="67">
        <v>4</v>
      </c>
      <c r="D63" s="67" t="s">
        <v>585</v>
      </c>
      <c r="E63" s="67" t="s">
        <v>586</v>
      </c>
      <c r="F63" s="67" t="s">
        <v>12</v>
      </c>
      <c r="G63" s="67" t="s">
        <v>587</v>
      </c>
      <c r="H63" s="67" t="s">
        <v>588</v>
      </c>
      <c r="I63" s="67" t="s">
        <v>161</v>
      </c>
      <c r="J63" s="67" t="s">
        <v>161</v>
      </c>
      <c r="K63" s="67" t="s">
        <v>161</v>
      </c>
      <c r="L63" s="67" t="s">
        <v>589</v>
      </c>
      <c r="M63" s="67" t="s">
        <v>590</v>
      </c>
      <c r="N63" s="67" t="s">
        <v>590</v>
      </c>
      <c r="O63" s="67" t="s">
        <v>165</v>
      </c>
      <c r="P63" s="67" t="s">
        <v>591</v>
      </c>
    </row>
    <row r="64" s="43" customFormat="1" customHeight="1" spans="1:16">
      <c r="A64" s="67" t="s">
        <v>592</v>
      </c>
      <c r="B64" s="67">
        <v>47.8</v>
      </c>
      <c r="C64" s="67">
        <v>4</v>
      </c>
      <c r="D64" s="67" t="s">
        <v>593</v>
      </c>
      <c r="E64" s="67" t="s">
        <v>594</v>
      </c>
      <c r="F64" s="67" t="s">
        <v>12</v>
      </c>
      <c r="G64" s="67" t="s">
        <v>595</v>
      </c>
      <c r="H64" s="67" t="s">
        <v>596</v>
      </c>
      <c r="I64" s="67" t="s">
        <v>161</v>
      </c>
      <c r="J64" s="67" t="s">
        <v>161</v>
      </c>
      <c r="K64" s="67" t="s">
        <v>161</v>
      </c>
      <c r="L64" s="67" t="s">
        <v>597</v>
      </c>
      <c r="M64" s="67" t="s">
        <v>598</v>
      </c>
      <c r="N64" s="67" t="s">
        <v>598</v>
      </c>
      <c r="O64" s="67" t="s">
        <v>165</v>
      </c>
      <c r="P64" s="67" t="s">
        <v>599</v>
      </c>
    </row>
    <row r="65" s="43" customFormat="1" customHeight="1" spans="1:16">
      <c r="A65" s="67" t="s">
        <v>600</v>
      </c>
      <c r="B65" s="67">
        <v>61.6</v>
      </c>
      <c r="C65" s="67">
        <v>7</v>
      </c>
      <c r="D65" s="67" t="s">
        <v>601</v>
      </c>
      <c r="E65" s="67" t="s">
        <v>602</v>
      </c>
      <c r="F65" s="67" t="s">
        <v>12</v>
      </c>
      <c r="G65" s="67" t="s">
        <v>603</v>
      </c>
      <c r="H65" s="67" t="s">
        <v>604</v>
      </c>
      <c r="I65" s="67" t="s">
        <v>161</v>
      </c>
      <c r="J65" s="67" t="s">
        <v>161</v>
      </c>
      <c r="K65" s="67" t="s">
        <v>161</v>
      </c>
      <c r="L65" s="67" t="s">
        <v>605</v>
      </c>
      <c r="M65" s="67" t="s">
        <v>606</v>
      </c>
      <c r="N65" s="67" t="s">
        <v>606</v>
      </c>
      <c r="O65" s="67" t="s">
        <v>165</v>
      </c>
      <c r="P65" s="67" t="s">
        <v>607</v>
      </c>
    </row>
    <row r="66" s="43" customFormat="1" customHeight="1" spans="1:16">
      <c r="A66" s="67" t="s">
        <v>608</v>
      </c>
      <c r="B66" s="67">
        <v>30.85</v>
      </c>
      <c r="C66" s="67">
        <v>3</v>
      </c>
      <c r="D66" s="67" t="s">
        <v>530</v>
      </c>
      <c r="E66" s="67" t="s">
        <v>609</v>
      </c>
      <c r="F66" s="67" t="s">
        <v>12</v>
      </c>
      <c r="G66" s="67" t="s">
        <v>610</v>
      </c>
      <c r="H66" s="67" t="s">
        <v>611</v>
      </c>
      <c r="I66" s="67" t="s">
        <v>161</v>
      </c>
      <c r="J66" s="67" t="s">
        <v>161</v>
      </c>
      <c r="K66" s="67" t="s">
        <v>161</v>
      </c>
      <c r="L66" s="67" t="s">
        <v>612</v>
      </c>
      <c r="M66" s="67" t="s">
        <v>613</v>
      </c>
      <c r="N66" s="67" t="s">
        <v>613</v>
      </c>
      <c r="O66" s="67" t="s">
        <v>165</v>
      </c>
      <c r="P66" s="67" t="s">
        <v>614</v>
      </c>
    </row>
    <row r="67" s="43" customFormat="1" customHeight="1" spans="1:16">
      <c r="A67" s="67" t="s">
        <v>615</v>
      </c>
      <c r="B67" s="67">
        <v>30.8</v>
      </c>
      <c r="C67" s="67">
        <v>3</v>
      </c>
      <c r="D67" s="67" t="s">
        <v>173</v>
      </c>
      <c r="E67" s="67" t="s">
        <v>324</v>
      </c>
      <c r="F67" s="67" t="s">
        <v>12</v>
      </c>
      <c r="G67" s="67" t="s">
        <v>616</v>
      </c>
      <c r="H67" s="67" t="s">
        <v>617</v>
      </c>
      <c r="I67" s="67" t="s">
        <v>161</v>
      </c>
      <c r="J67" s="67" t="s">
        <v>161</v>
      </c>
      <c r="K67" s="67" t="s">
        <v>161</v>
      </c>
      <c r="L67" s="67" t="s">
        <v>618</v>
      </c>
      <c r="M67" s="67" t="s">
        <v>619</v>
      </c>
      <c r="N67" s="67" t="s">
        <v>619</v>
      </c>
      <c r="O67" s="67" t="s">
        <v>165</v>
      </c>
      <c r="P67" s="67" t="s">
        <v>620</v>
      </c>
    </row>
    <row r="68" s="43" customFormat="1" customHeight="1" spans="1:16">
      <c r="A68" s="67" t="s">
        <v>621</v>
      </c>
      <c r="B68" s="67">
        <v>30.8</v>
      </c>
      <c r="C68" s="67">
        <v>3</v>
      </c>
      <c r="D68" s="67" t="s">
        <v>173</v>
      </c>
      <c r="E68" s="67" t="s">
        <v>324</v>
      </c>
      <c r="F68" s="67" t="s">
        <v>12</v>
      </c>
      <c r="G68" s="67" t="s">
        <v>622</v>
      </c>
      <c r="H68" s="67" t="s">
        <v>623</v>
      </c>
      <c r="I68" s="67" t="s">
        <v>161</v>
      </c>
      <c r="J68" s="67" t="s">
        <v>161</v>
      </c>
      <c r="K68" s="67" t="s">
        <v>161</v>
      </c>
      <c r="L68" s="67" t="s">
        <v>624</v>
      </c>
      <c r="M68" s="67" t="s">
        <v>625</v>
      </c>
      <c r="N68" s="67" t="s">
        <v>625</v>
      </c>
      <c r="O68" s="67" t="s">
        <v>165</v>
      </c>
      <c r="P68" s="67" t="s">
        <v>626</v>
      </c>
    </row>
    <row r="69" s="43" customFormat="1" customHeight="1" spans="1:16">
      <c r="A69" s="67" t="s">
        <v>627</v>
      </c>
      <c r="B69" s="67">
        <v>47.8</v>
      </c>
      <c r="C69" s="67">
        <v>4</v>
      </c>
      <c r="D69" s="67" t="s">
        <v>290</v>
      </c>
      <c r="E69" s="67" t="s">
        <v>628</v>
      </c>
      <c r="F69" s="67" t="s">
        <v>12</v>
      </c>
      <c r="G69" s="67" t="s">
        <v>629</v>
      </c>
      <c r="H69" s="67" t="s">
        <v>630</v>
      </c>
      <c r="I69" s="67" t="s">
        <v>161</v>
      </c>
      <c r="J69" s="67" t="s">
        <v>161</v>
      </c>
      <c r="K69" s="67" t="s">
        <v>161</v>
      </c>
      <c r="L69" s="67" t="s">
        <v>631</v>
      </c>
      <c r="M69" s="67" t="s">
        <v>632</v>
      </c>
      <c r="N69" s="67" t="s">
        <v>632</v>
      </c>
      <c r="O69" s="67" t="s">
        <v>165</v>
      </c>
      <c r="P69" s="67" t="s">
        <v>633</v>
      </c>
    </row>
    <row r="70" s="43" customFormat="1" customHeight="1" spans="1:16">
      <c r="A70" s="67" t="s">
        <v>634</v>
      </c>
      <c r="B70" s="67">
        <v>30.85</v>
      </c>
      <c r="C70" s="67">
        <v>3</v>
      </c>
      <c r="D70" s="67" t="s">
        <v>246</v>
      </c>
      <c r="E70" s="67" t="s">
        <v>331</v>
      </c>
      <c r="F70" s="67" t="s">
        <v>78</v>
      </c>
      <c r="G70" s="67" t="s">
        <v>635</v>
      </c>
      <c r="H70" s="67" t="s">
        <v>636</v>
      </c>
      <c r="I70" s="67" t="s">
        <v>161</v>
      </c>
      <c r="J70" s="67" t="s">
        <v>161</v>
      </c>
      <c r="K70" s="67" t="s">
        <v>161</v>
      </c>
      <c r="L70" s="67" t="s">
        <v>637</v>
      </c>
      <c r="M70" s="67" t="s">
        <v>638</v>
      </c>
      <c r="N70" s="67" t="s">
        <v>638</v>
      </c>
      <c r="O70" s="67" t="s">
        <v>165</v>
      </c>
      <c r="P70" s="67" t="s">
        <v>639</v>
      </c>
    </row>
    <row r="71" s="43" customFormat="1" customHeight="1" spans="1:16">
      <c r="A71" s="67" t="s">
        <v>640</v>
      </c>
      <c r="B71" s="67">
        <v>26.89</v>
      </c>
      <c r="C71" s="67">
        <v>2</v>
      </c>
      <c r="D71" s="67" t="s">
        <v>232</v>
      </c>
      <c r="E71" s="67" t="s">
        <v>233</v>
      </c>
      <c r="F71" s="67" t="s">
        <v>12</v>
      </c>
      <c r="G71" s="67" t="s">
        <v>641</v>
      </c>
      <c r="H71" s="67" t="s">
        <v>642</v>
      </c>
      <c r="I71" s="67" t="s">
        <v>161</v>
      </c>
      <c r="J71" s="67" t="s">
        <v>161</v>
      </c>
      <c r="K71" s="67" t="s">
        <v>161</v>
      </c>
      <c r="L71" s="67" t="s">
        <v>643</v>
      </c>
      <c r="M71" s="67" t="s">
        <v>644</v>
      </c>
      <c r="N71" s="67" t="s">
        <v>644</v>
      </c>
      <c r="O71" s="67" t="s">
        <v>165</v>
      </c>
      <c r="P71" s="67" t="s">
        <v>645</v>
      </c>
    </row>
    <row r="72" s="43" customFormat="1" hidden="1" customHeight="1" spans="1:16">
      <c r="A72" s="67" t="s">
        <v>640</v>
      </c>
      <c r="B72" s="67">
        <v>23.9</v>
      </c>
      <c r="C72" s="67">
        <v>2</v>
      </c>
      <c r="D72" s="67" t="s">
        <v>646</v>
      </c>
      <c r="E72" s="67" t="s">
        <v>647</v>
      </c>
      <c r="F72" s="67" t="s">
        <v>12</v>
      </c>
      <c r="G72" s="67" t="s">
        <v>641</v>
      </c>
      <c r="H72" s="67" t="s">
        <v>648</v>
      </c>
      <c r="I72" s="67" t="s">
        <v>161</v>
      </c>
      <c r="J72" s="67" t="s">
        <v>649</v>
      </c>
      <c r="K72" s="67" t="s">
        <v>161</v>
      </c>
      <c r="L72" s="67" t="s">
        <v>643</v>
      </c>
      <c r="M72" s="67" t="s">
        <v>650</v>
      </c>
      <c r="N72" s="67" t="s">
        <v>650</v>
      </c>
      <c r="O72" s="67" t="s">
        <v>165</v>
      </c>
      <c r="P72" s="67" t="s">
        <v>651</v>
      </c>
    </row>
    <row r="73" s="43" customFormat="1" customHeight="1" spans="1:16">
      <c r="A73" s="67" t="s">
        <v>652</v>
      </c>
      <c r="B73" s="67">
        <v>30.85</v>
      </c>
      <c r="C73" s="67">
        <v>3</v>
      </c>
      <c r="D73" s="67" t="s">
        <v>246</v>
      </c>
      <c r="E73" s="67" t="s">
        <v>247</v>
      </c>
      <c r="F73" s="67" t="s">
        <v>78</v>
      </c>
      <c r="G73" s="67" t="s">
        <v>653</v>
      </c>
      <c r="H73" s="67" t="s">
        <v>654</v>
      </c>
      <c r="I73" s="67" t="s">
        <v>161</v>
      </c>
      <c r="J73" s="67" t="s">
        <v>161</v>
      </c>
      <c r="K73" s="67" t="s">
        <v>161</v>
      </c>
      <c r="L73" s="67" t="s">
        <v>655</v>
      </c>
      <c r="M73" s="67" t="s">
        <v>656</v>
      </c>
      <c r="N73" s="67" t="s">
        <v>656</v>
      </c>
      <c r="O73" s="67" t="s">
        <v>165</v>
      </c>
      <c r="P73" s="67" t="s">
        <v>639</v>
      </c>
    </row>
    <row r="74" s="43" customFormat="1" customHeight="1" spans="1:16">
      <c r="A74" s="67" t="s">
        <v>657</v>
      </c>
      <c r="B74" s="67">
        <v>30.8</v>
      </c>
      <c r="C74" s="67">
        <v>3</v>
      </c>
      <c r="D74" s="67" t="s">
        <v>173</v>
      </c>
      <c r="E74" s="67" t="s">
        <v>658</v>
      </c>
      <c r="F74" s="67" t="s">
        <v>12</v>
      </c>
      <c r="G74" s="67" t="s">
        <v>659</v>
      </c>
      <c r="H74" s="67" t="s">
        <v>660</v>
      </c>
      <c r="I74" s="67" t="s">
        <v>161</v>
      </c>
      <c r="J74" s="67" t="s">
        <v>161</v>
      </c>
      <c r="K74" s="67" t="s">
        <v>161</v>
      </c>
      <c r="L74" s="67" t="s">
        <v>661</v>
      </c>
      <c r="M74" s="67" t="s">
        <v>662</v>
      </c>
      <c r="N74" s="67" t="s">
        <v>662</v>
      </c>
      <c r="O74" s="67" t="s">
        <v>165</v>
      </c>
      <c r="P74" s="67" t="s">
        <v>663</v>
      </c>
    </row>
    <row r="75" s="43" customFormat="1" customHeight="1" spans="1:16">
      <c r="A75" s="67" t="s">
        <v>664</v>
      </c>
      <c r="B75" s="67">
        <v>26.89</v>
      </c>
      <c r="C75" s="67">
        <v>2</v>
      </c>
      <c r="D75" s="67" t="s">
        <v>232</v>
      </c>
      <c r="E75" s="67" t="s">
        <v>254</v>
      </c>
      <c r="F75" s="67" t="s">
        <v>12</v>
      </c>
      <c r="G75" s="67" t="s">
        <v>665</v>
      </c>
      <c r="H75" s="67" t="s">
        <v>666</v>
      </c>
      <c r="I75" s="67" t="s">
        <v>161</v>
      </c>
      <c r="J75" s="67" t="s">
        <v>161</v>
      </c>
      <c r="K75" s="67" t="s">
        <v>161</v>
      </c>
      <c r="L75" s="67" t="s">
        <v>667</v>
      </c>
      <c r="M75" s="67" t="s">
        <v>668</v>
      </c>
      <c r="N75" s="67" t="s">
        <v>668</v>
      </c>
      <c r="O75" s="67" t="s">
        <v>165</v>
      </c>
      <c r="P75" s="67" t="s">
        <v>669</v>
      </c>
    </row>
    <row r="76" s="43" customFormat="1" customHeight="1" spans="1:16">
      <c r="A76" s="67" t="s">
        <v>670</v>
      </c>
      <c r="B76" s="67">
        <v>45.41</v>
      </c>
      <c r="C76" s="67">
        <v>4</v>
      </c>
      <c r="D76" s="67" t="s">
        <v>290</v>
      </c>
      <c r="E76" s="67" t="s">
        <v>671</v>
      </c>
      <c r="F76" s="67" t="s">
        <v>12</v>
      </c>
      <c r="G76" s="67" t="s">
        <v>672</v>
      </c>
      <c r="H76" s="67" t="s">
        <v>673</v>
      </c>
      <c r="I76" s="67" t="s">
        <v>161</v>
      </c>
      <c r="J76" s="67" t="s">
        <v>161</v>
      </c>
      <c r="K76" s="67" t="s">
        <v>161</v>
      </c>
      <c r="L76" s="67" t="s">
        <v>674</v>
      </c>
      <c r="M76" s="67" t="s">
        <v>675</v>
      </c>
      <c r="N76" s="67" t="s">
        <v>675</v>
      </c>
      <c r="O76" s="67" t="s">
        <v>165</v>
      </c>
      <c r="P76" s="67" t="s">
        <v>676</v>
      </c>
    </row>
    <row r="77" s="43" customFormat="1" customHeight="1" spans="1:16">
      <c r="A77" s="67" t="s">
        <v>677</v>
      </c>
      <c r="B77" s="67">
        <v>86.5</v>
      </c>
      <c r="C77" s="67">
        <v>6</v>
      </c>
      <c r="D77" s="67" t="s">
        <v>678</v>
      </c>
      <c r="E77" s="67" t="s">
        <v>679</v>
      </c>
      <c r="F77" s="67" t="s">
        <v>12</v>
      </c>
      <c r="G77" s="67" t="s">
        <v>680</v>
      </c>
      <c r="H77" s="67" t="s">
        <v>681</v>
      </c>
      <c r="I77" s="67" t="s">
        <v>161</v>
      </c>
      <c r="J77" s="67" t="s">
        <v>161</v>
      </c>
      <c r="K77" s="67" t="s">
        <v>161</v>
      </c>
      <c r="L77" s="67" t="s">
        <v>682</v>
      </c>
      <c r="M77" s="67" t="s">
        <v>683</v>
      </c>
      <c r="N77" s="67" t="s">
        <v>683</v>
      </c>
      <c r="O77" s="67" t="s">
        <v>165</v>
      </c>
      <c r="P77" s="67" t="s">
        <v>684</v>
      </c>
    </row>
    <row r="78" s="43" customFormat="1" customHeight="1" spans="1:16">
      <c r="A78" s="67" t="s">
        <v>685</v>
      </c>
      <c r="B78" s="67">
        <v>61.7</v>
      </c>
      <c r="C78" s="67">
        <v>6</v>
      </c>
      <c r="D78" s="67" t="s">
        <v>686</v>
      </c>
      <c r="E78" s="67" t="s">
        <v>687</v>
      </c>
      <c r="F78" s="67" t="s">
        <v>12</v>
      </c>
      <c r="G78" s="67" t="s">
        <v>688</v>
      </c>
      <c r="H78" s="67" t="s">
        <v>689</v>
      </c>
      <c r="I78" s="67" t="s">
        <v>161</v>
      </c>
      <c r="J78" s="67" t="s">
        <v>161</v>
      </c>
      <c r="K78" s="67" t="s">
        <v>161</v>
      </c>
      <c r="L78" s="67" t="s">
        <v>690</v>
      </c>
      <c r="M78" s="67" t="s">
        <v>691</v>
      </c>
      <c r="N78" s="67" t="s">
        <v>691</v>
      </c>
      <c r="O78" s="67" t="s">
        <v>165</v>
      </c>
      <c r="P78" s="67" t="s">
        <v>692</v>
      </c>
    </row>
    <row r="79" s="43" customFormat="1" customHeight="1" spans="1:16">
      <c r="A79" s="67" t="s">
        <v>693</v>
      </c>
      <c r="B79" s="67">
        <v>55.25</v>
      </c>
      <c r="C79" s="67">
        <v>5</v>
      </c>
      <c r="D79" s="67" t="s">
        <v>694</v>
      </c>
      <c r="E79" s="67" t="s">
        <v>695</v>
      </c>
      <c r="F79" s="67" t="s">
        <v>78</v>
      </c>
      <c r="G79" s="67" t="s">
        <v>696</v>
      </c>
      <c r="H79" s="67" t="s">
        <v>697</v>
      </c>
      <c r="I79" s="67" t="s">
        <v>161</v>
      </c>
      <c r="J79" s="67" t="s">
        <v>161</v>
      </c>
      <c r="K79" s="67" t="s">
        <v>161</v>
      </c>
      <c r="L79" s="67" t="s">
        <v>698</v>
      </c>
      <c r="M79" s="67" t="s">
        <v>699</v>
      </c>
      <c r="N79" s="67" t="s">
        <v>699</v>
      </c>
      <c r="O79" s="67" t="s">
        <v>165</v>
      </c>
      <c r="P79" s="67" t="s">
        <v>639</v>
      </c>
    </row>
    <row r="80" s="43" customFormat="1" customHeight="1" spans="1:16">
      <c r="A80" s="67" t="s">
        <v>693</v>
      </c>
      <c r="B80" s="67">
        <v>23.9</v>
      </c>
      <c r="C80" s="67">
        <v>1</v>
      </c>
      <c r="D80" s="67" t="s">
        <v>700</v>
      </c>
      <c r="E80" s="67" t="s">
        <v>701</v>
      </c>
      <c r="F80" s="67" t="s">
        <v>78</v>
      </c>
      <c r="G80" s="67" t="s">
        <v>696</v>
      </c>
      <c r="H80" s="67" t="s">
        <v>702</v>
      </c>
      <c r="I80" s="67" t="s">
        <v>161</v>
      </c>
      <c r="J80" s="67" t="s">
        <v>162</v>
      </c>
      <c r="K80" s="67" t="s">
        <v>161</v>
      </c>
      <c r="L80" s="67" t="s">
        <v>698</v>
      </c>
      <c r="M80" s="67" t="s">
        <v>703</v>
      </c>
      <c r="N80" s="67" t="s">
        <v>703</v>
      </c>
      <c r="O80" s="67" t="s">
        <v>165</v>
      </c>
      <c r="P80" s="67" t="s">
        <v>166</v>
      </c>
    </row>
    <row r="81" s="43" customFormat="1" customHeight="1" spans="1:16">
      <c r="A81" s="67" t="s">
        <v>704</v>
      </c>
      <c r="B81" s="67">
        <v>26.89</v>
      </c>
      <c r="C81" s="67">
        <v>2</v>
      </c>
      <c r="D81" s="67" t="s">
        <v>232</v>
      </c>
      <c r="E81" s="67" t="s">
        <v>254</v>
      </c>
      <c r="F81" s="67" t="s">
        <v>12</v>
      </c>
      <c r="G81" s="67" t="s">
        <v>705</v>
      </c>
      <c r="H81" s="67" t="s">
        <v>706</v>
      </c>
      <c r="I81" s="67" t="s">
        <v>161</v>
      </c>
      <c r="J81" s="67" t="s">
        <v>161</v>
      </c>
      <c r="K81" s="67" t="s">
        <v>161</v>
      </c>
      <c r="L81" s="67" t="s">
        <v>707</v>
      </c>
      <c r="M81" s="67" t="s">
        <v>708</v>
      </c>
      <c r="N81" s="67" t="s">
        <v>708</v>
      </c>
      <c r="O81" s="67" t="s">
        <v>165</v>
      </c>
      <c r="P81" s="67" t="s">
        <v>709</v>
      </c>
    </row>
    <row r="82" s="43" customFormat="1" customHeight="1" spans="1:16">
      <c r="A82" s="67" t="s">
        <v>710</v>
      </c>
      <c r="B82" s="67">
        <v>59.6</v>
      </c>
      <c r="C82" s="67">
        <v>6</v>
      </c>
      <c r="D82" s="67" t="s">
        <v>711</v>
      </c>
      <c r="E82" s="67" t="s">
        <v>712</v>
      </c>
      <c r="F82" s="67" t="s">
        <v>12</v>
      </c>
      <c r="G82" s="67" t="s">
        <v>713</v>
      </c>
      <c r="H82" s="67" t="s">
        <v>714</v>
      </c>
      <c r="I82" s="67" t="s">
        <v>161</v>
      </c>
      <c r="J82" s="67" t="s">
        <v>161</v>
      </c>
      <c r="K82" s="67" t="s">
        <v>161</v>
      </c>
      <c r="L82" s="67" t="s">
        <v>715</v>
      </c>
      <c r="M82" s="67" t="s">
        <v>716</v>
      </c>
      <c r="N82" s="67" t="s">
        <v>716</v>
      </c>
      <c r="O82" s="67" t="s">
        <v>165</v>
      </c>
      <c r="P82" s="67" t="s">
        <v>717</v>
      </c>
    </row>
    <row r="83" s="43" customFormat="1" customHeight="1" spans="1:16">
      <c r="A83" s="67" t="s">
        <v>718</v>
      </c>
      <c r="B83" s="67">
        <v>26.89</v>
      </c>
      <c r="C83" s="67">
        <v>2</v>
      </c>
      <c r="D83" s="67" t="s">
        <v>356</v>
      </c>
      <c r="E83" s="67" t="s">
        <v>357</v>
      </c>
      <c r="F83" s="67" t="s">
        <v>12</v>
      </c>
      <c r="G83" s="67" t="s">
        <v>719</v>
      </c>
      <c r="H83" s="67" t="s">
        <v>720</v>
      </c>
      <c r="I83" s="67" t="s">
        <v>161</v>
      </c>
      <c r="J83" s="67" t="s">
        <v>161</v>
      </c>
      <c r="K83" s="67" t="s">
        <v>161</v>
      </c>
      <c r="L83" s="67" t="s">
        <v>721</v>
      </c>
      <c r="M83" s="67" t="s">
        <v>722</v>
      </c>
      <c r="N83" s="67" t="s">
        <v>722</v>
      </c>
      <c r="O83" s="67" t="s">
        <v>165</v>
      </c>
      <c r="P83" s="67" t="s">
        <v>723</v>
      </c>
    </row>
    <row r="84" s="43" customFormat="1" customHeight="1" spans="1:16">
      <c r="A84" s="67" t="s">
        <v>724</v>
      </c>
      <c r="B84" s="67">
        <v>30.8</v>
      </c>
      <c r="C84" s="67">
        <v>3</v>
      </c>
      <c r="D84" s="67" t="s">
        <v>173</v>
      </c>
      <c r="E84" s="67" t="s">
        <v>324</v>
      </c>
      <c r="F84" s="67" t="s">
        <v>12</v>
      </c>
      <c r="G84" s="67" t="s">
        <v>725</v>
      </c>
      <c r="H84" s="67" t="s">
        <v>726</v>
      </c>
      <c r="I84" s="67" t="s">
        <v>161</v>
      </c>
      <c r="J84" s="67" t="s">
        <v>161</v>
      </c>
      <c r="K84" s="67" t="s">
        <v>161</v>
      </c>
      <c r="L84" s="67" t="s">
        <v>727</v>
      </c>
      <c r="M84" s="67" t="s">
        <v>728</v>
      </c>
      <c r="N84" s="67" t="s">
        <v>728</v>
      </c>
      <c r="O84" s="67" t="s">
        <v>165</v>
      </c>
      <c r="P84" s="67" t="s">
        <v>729</v>
      </c>
    </row>
    <row r="85" s="43" customFormat="1" customHeight="1" spans="1:16">
      <c r="A85" s="67" t="s">
        <v>730</v>
      </c>
      <c r="B85" s="67">
        <v>42.95</v>
      </c>
      <c r="C85" s="67">
        <v>4</v>
      </c>
      <c r="D85" s="67" t="s">
        <v>731</v>
      </c>
      <c r="E85" s="67" t="s">
        <v>732</v>
      </c>
      <c r="F85" s="67" t="s">
        <v>12</v>
      </c>
      <c r="G85" s="67" t="s">
        <v>733</v>
      </c>
      <c r="H85" s="67" t="s">
        <v>734</v>
      </c>
      <c r="I85" s="67" t="s">
        <v>161</v>
      </c>
      <c r="J85" s="67" t="s">
        <v>161</v>
      </c>
      <c r="K85" s="67" t="s">
        <v>161</v>
      </c>
      <c r="L85" s="67" t="s">
        <v>735</v>
      </c>
      <c r="M85" s="67" t="s">
        <v>736</v>
      </c>
      <c r="N85" s="67" t="s">
        <v>736</v>
      </c>
      <c r="O85" s="67" t="s">
        <v>165</v>
      </c>
      <c r="P85" s="67" t="s">
        <v>737</v>
      </c>
    </row>
    <row r="86" s="43" customFormat="1" customHeight="1" spans="1:16">
      <c r="A86" s="67" t="s">
        <v>738</v>
      </c>
      <c r="B86" s="67">
        <v>79.65</v>
      </c>
      <c r="C86" s="67">
        <v>6</v>
      </c>
      <c r="D86" s="67" t="s">
        <v>739</v>
      </c>
      <c r="E86" s="67" t="s">
        <v>740</v>
      </c>
      <c r="F86" s="67" t="s">
        <v>12</v>
      </c>
      <c r="G86" s="67" t="s">
        <v>741</v>
      </c>
      <c r="H86" s="67" t="s">
        <v>742</v>
      </c>
      <c r="I86" s="67" t="s">
        <v>161</v>
      </c>
      <c r="J86" s="67" t="s">
        <v>161</v>
      </c>
      <c r="K86" s="67" t="s">
        <v>161</v>
      </c>
      <c r="L86" s="67" t="s">
        <v>743</v>
      </c>
      <c r="M86" s="67" t="s">
        <v>744</v>
      </c>
      <c r="N86" s="67" t="s">
        <v>744</v>
      </c>
      <c r="O86" s="67" t="s">
        <v>165</v>
      </c>
      <c r="P86" s="67" t="s">
        <v>745</v>
      </c>
    </row>
    <row r="87" s="43" customFormat="1" customHeight="1" spans="1:16">
      <c r="A87" s="67" t="s">
        <v>746</v>
      </c>
      <c r="B87" s="67">
        <v>35.75</v>
      </c>
      <c r="C87" s="67">
        <v>4</v>
      </c>
      <c r="D87" s="67" t="s">
        <v>747</v>
      </c>
      <c r="E87" s="67" t="s">
        <v>748</v>
      </c>
      <c r="F87" s="67" t="s">
        <v>12</v>
      </c>
      <c r="G87" s="67" t="s">
        <v>749</v>
      </c>
      <c r="H87" s="67" t="s">
        <v>750</v>
      </c>
      <c r="I87" s="67" t="s">
        <v>161</v>
      </c>
      <c r="J87" s="67" t="s">
        <v>161</v>
      </c>
      <c r="K87" s="67" t="s">
        <v>161</v>
      </c>
      <c r="L87" s="67" t="s">
        <v>751</v>
      </c>
      <c r="M87" s="67" t="s">
        <v>752</v>
      </c>
      <c r="N87" s="67" t="s">
        <v>752</v>
      </c>
      <c r="O87" s="67" t="s">
        <v>165</v>
      </c>
      <c r="P87" s="67" t="s">
        <v>753</v>
      </c>
    </row>
    <row r="88" s="43" customFormat="1" customHeight="1" spans="1:16">
      <c r="A88" s="67" t="s">
        <v>754</v>
      </c>
      <c r="B88" s="67">
        <v>54.75</v>
      </c>
      <c r="C88" s="67">
        <v>5</v>
      </c>
      <c r="D88" s="67" t="s">
        <v>755</v>
      </c>
      <c r="E88" s="67" t="s">
        <v>756</v>
      </c>
      <c r="F88" s="67" t="s">
        <v>12</v>
      </c>
      <c r="G88" s="67" t="s">
        <v>757</v>
      </c>
      <c r="H88" s="67" t="s">
        <v>758</v>
      </c>
      <c r="I88" s="67" t="s">
        <v>161</v>
      </c>
      <c r="J88" s="67" t="s">
        <v>161</v>
      </c>
      <c r="K88" s="67" t="s">
        <v>161</v>
      </c>
      <c r="L88" s="67" t="s">
        <v>759</v>
      </c>
      <c r="M88" s="67" t="s">
        <v>760</v>
      </c>
      <c r="N88" s="67" t="s">
        <v>760</v>
      </c>
      <c r="O88" s="67" t="s">
        <v>165</v>
      </c>
      <c r="P88" s="67" t="s">
        <v>761</v>
      </c>
    </row>
    <row r="89" s="43" customFormat="1" customHeight="1" spans="1:16">
      <c r="A89" s="67" t="s">
        <v>762</v>
      </c>
      <c r="B89" s="67">
        <v>38.25</v>
      </c>
      <c r="C89" s="67">
        <v>3</v>
      </c>
      <c r="D89" s="67" t="s">
        <v>763</v>
      </c>
      <c r="E89" s="67" t="s">
        <v>764</v>
      </c>
      <c r="F89" s="67" t="s">
        <v>12</v>
      </c>
      <c r="G89" s="67" t="s">
        <v>765</v>
      </c>
      <c r="H89" s="67" t="s">
        <v>766</v>
      </c>
      <c r="I89" s="67" t="s">
        <v>161</v>
      </c>
      <c r="J89" s="67" t="s">
        <v>161</v>
      </c>
      <c r="K89" s="67" t="s">
        <v>161</v>
      </c>
      <c r="L89" s="67" t="s">
        <v>767</v>
      </c>
      <c r="M89" s="67" t="s">
        <v>768</v>
      </c>
      <c r="N89" s="67" t="s">
        <v>768</v>
      </c>
      <c r="O89" s="67" t="s">
        <v>165</v>
      </c>
      <c r="P89" s="67" t="s">
        <v>769</v>
      </c>
    </row>
    <row r="90" s="43" customFormat="1" customHeight="1" spans="1:16">
      <c r="A90" s="67" t="s">
        <v>770</v>
      </c>
      <c r="B90" s="67">
        <v>71.4</v>
      </c>
      <c r="C90" s="67">
        <v>10</v>
      </c>
      <c r="D90" s="67" t="s">
        <v>771</v>
      </c>
      <c r="E90" s="67" t="s">
        <v>772</v>
      </c>
      <c r="F90" s="67" t="s">
        <v>12</v>
      </c>
      <c r="G90" s="67" t="s">
        <v>773</v>
      </c>
      <c r="H90" s="67" t="s">
        <v>774</v>
      </c>
      <c r="I90" s="67" t="s">
        <v>161</v>
      </c>
      <c r="J90" s="67" t="s">
        <v>161</v>
      </c>
      <c r="K90" s="67" t="s">
        <v>161</v>
      </c>
      <c r="L90" s="67" t="s">
        <v>775</v>
      </c>
      <c r="M90" s="67" t="s">
        <v>776</v>
      </c>
      <c r="N90" s="67" t="s">
        <v>776</v>
      </c>
      <c r="O90" s="67" t="s">
        <v>165</v>
      </c>
      <c r="P90" s="67" t="s">
        <v>777</v>
      </c>
    </row>
    <row r="91" s="43" customFormat="1" customHeight="1" spans="1:16">
      <c r="A91" s="67" t="s">
        <v>778</v>
      </c>
      <c r="B91" s="67">
        <v>47.8</v>
      </c>
      <c r="C91" s="67">
        <v>4</v>
      </c>
      <c r="D91" s="67" t="s">
        <v>290</v>
      </c>
      <c r="E91" s="67" t="s">
        <v>779</v>
      </c>
      <c r="F91" s="67" t="s">
        <v>12</v>
      </c>
      <c r="G91" s="67" t="s">
        <v>780</v>
      </c>
      <c r="H91" s="67" t="s">
        <v>781</v>
      </c>
      <c r="I91" s="67" t="s">
        <v>161</v>
      </c>
      <c r="J91" s="67" t="s">
        <v>161</v>
      </c>
      <c r="K91" s="67" t="s">
        <v>161</v>
      </c>
      <c r="L91" s="67" t="s">
        <v>782</v>
      </c>
      <c r="M91" s="67" t="s">
        <v>783</v>
      </c>
      <c r="N91" s="67" t="s">
        <v>783</v>
      </c>
      <c r="O91" s="67" t="s">
        <v>165</v>
      </c>
      <c r="P91" s="67" t="s">
        <v>784</v>
      </c>
    </row>
    <row r="92" s="43" customFormat="1" customHeight="1" spans="1:16">
      <c r="A92" s="67" t="s">
        <v>785</v>
      </c>
      <c r="B92" s="67">
        <v>54.75</v>
      </c>
      <c r="C92" s="67">
        <v>5</v>
      </c>
      <c r="D92" s="67" t="s">
        <v>786</v>
      </c>
      <c r="E92" s="67" t="s">
        <v>787</v>
      </c>
      <c r="F92" s="67" t="s">
        <v>12</v>
      </c>
      <c r="G92" s="67" t="s">
        <v>788</v>
      </c>
      <c r="H92" s="67" t="s">
        <v>789</v>
      </c>
      <c r="I92" s="67" t="s">
        <v>161</v>
      </c>
      <c r="J92" s="67" t="s">
        <v>161</v>
      </c>
      <c r="K92" s="67" t="s">
        <v>790</v>
      </c>
      <c r="L92" s="67" t="s">
        <v>791</v>
      </c>
      <c r="M92" s="67" t="s">
        <v>792</v>
      </c>
      <c r="N92" s="67" t="s">
        <v>792</v>
      </c>
      <c r="O92" s="67" t="s">
        <v>165</v>
      </c>
      <c r="P92" s="67" t="s">
        <v>793</v>
      </c>
    </row>
    <row r="93" s="43" customFormat="1" customHeight="1" spans="1:16">
      <c r="A93" s="67" t="s">
        <v>794</v>
      </c>
      <c r="B93" s="67">
        <v>47.8</v>
      </c>
      <c r="C93" s="67">
        <v>4</v>
      </c>
      <c r="D93" s="67" t="s">
        <v>290</v>
      </c>
      <c r="E93" s="67" t="s">
        <v>795</v>
      </c>
      <c r="F93" s="67" t="s">
        <v>12</v>
      </c>
      <c r="G93" s="67" t="s">
        <v>796</v>
      </c>
      <c r="H93" s="67" t="s">
        <v>797</v>
      </c>
      <c r="I93" s="67" t="s">
        <v>161</v>
      </c>
      <c r="J93" s="67" t="s">
        <v>161</v>
      </c>
      <c r="K93" s="67" t="s">
        <v>161</v>
      </c>
      <c r="L93" s="67" t="s">
        <v>798</v>
      </c>
      <c r="M93" s="67" t="s">
        <v>799</v>
      </c>
      <c r="N93" s="67" t="s">
        <v>799</v>
      </c>
      <c r="O93" s="67" t="s">
        <v>165</v>
      </c>
      <c r="P93" s="67" t="s">
        <v>800</v>
      </c>
    </row>
    <row r="94" s="43" customFormat="1" customHeight="1" spans="1:16">
      <c r="A94" s="67" t="s">
        <v>801</v>
      </c>
      <c r="B94" s="67">
        <v>35.7</v>
      </c>
      <c r="C94" s="67">
        <v>4</v>
      </c>
      <c r="D94" s="67" t="s">
        <v>565</v>
      </c>
      <c r="E94" s="67" t="s">
        <v>566</v>
      </c>
      <c r="F94" s="67" t="s">
        <v>12</v>
      </c>
      <c r="G94" s="67" t="s">
        <v>802</v>
      </c>
      <c r="H94" s="67" t="s">
        <v>803</v>
      </c>
      <c r="I94" s="67" t="s">
        <v>161</v>
      </c>
      <c r="J94" s="67" t="s">
        <v>161</v>
      </c>
      <c r="K94" s="67" t="s">
        <v>161</v>
      </c>
      <c r="L94" s="67" t="s">
        <v>804</v>
      </c>
      <c r="M94" s="67" t="s">
        <v>805</v>
      </c>
      <c r="N94" s="67" t="s">
        <v>805</v>
      </c>
      <c r="O94" s="67" t="s">
        <v>165</v>
      </c>
      <c r="P94" s="67" t="s">
        <v>806</v>
      </c>
    </row>
    <row r="95" s="43" customFormat="1" customHeight="1" spans="1:16">
      <c r="A95" s="67" t="s">
        <v>807</v>
      </c>
      <c r="B95" s="67">
        <v>30.8</v>
      </c>
      <c r="C95" s="67">
        <v>3</v>
      </c>
      <c r="D95" s="67" t="s">
        <v>173</v>
      </c>
      <c r="E95" s="67" t="s">
        <v>174</v>
      </c>
      <c r="F95" s="67" t="s">
        <v>12</v>
      </c>
      <c r="G95" s="67" t="s">
        <v>808</v>
      </c>
      <c r="H95" s="67" t="s">
        <v>809</v>
      </c>
      <c r="I95" s="67" t="s">
        <v>161</v>
      </c>
      <c r="J95" s="67" t="s">
        <v>161</v>
      </c>
      <c r="K95" s="67" t="s">
        <v>161</v>
      </c>
      <c r="L95" s="67" t="s">
        <v>810</v>
      </c>
      <c r="M95" s="67" t="s">
        <v>811</v>
      </c>
      <c r="N95" s="67" t="s">
        <v>811</v>
      </c>
      <c r="O95" s="67" t="s">
        <v>165</v>
      </c>
      <c r="P95" s="67" t="s">
        <v>812</v>
      </c>
    </row>
    <row r="96" s="43" customFormat="1" customHeight="1" spans="1:16">
      <c r="A96" s="67" t="s">
        <v>813</v>
      </c>
      <c r="B96" s="67">
        <v>26.89</v>
      </c>
      <c r="C96" s="67">
        <v>2</v>
      </c>
      <c r="D96" s="67" t="s">
        <v>364</v>
      </c>
      <c r="E96" s="67" t="s">
        <v>814</v>
      </c>
      <c r="F96" s="67" t="s">
        <v>12</v>
      </c>
      <c r="G96" s="67" t="s">
        <v>815</v>
      </c>
      <c r="H96" s="67" t="s">
        <v>816</v>
      </c>
      <c r="I96" s="67" t="s">
        <v>161</v>
      </c>
      <c r="J96" s="67" t="s">
        <v>161</v>
      </c>
      <c r="K96" s="67" t="s">
        <v>161</v>
      </c>
      <c r="L96" s="67" t="s">
        <v>817</v>
      </c>
      <c r="M96" s="67" t="s">
        <v>818</v>
      </c>
      <c r="N96" s="67" t="s">
        <v>818</v>
      </c>
      <c r="O96" s="67" t="s">
        <v>165</v>
      </c>
      <c r="P96" s="67" t="s">
        <v>819</v>
      </c>
    </row>
    <row r="97" s="43" customFormat="1" customHeight="1" spans="1:16">
      <c r="A97" s="67" t="s">
        <v>820</v>
      </c>
      <c r="B97" s="67">
        <v>47.8</v>
      </c>
      <c r="C97" s="67">
        <v>4</v>
      </c>
      <c r="D97" s="67" t="s">
        <v>821</v>
      </c>
      <c r="E97" s="67" t="s">
        <v>822</v>
      </c>
      <c r="F97" s="67" t="s">
        <v>12</v>
      </c>
      <c r="G97" s="67" t="s">
        <v>823</v>
      </c>
      <c r="H97" s="67" t="s">
        <v>824</v>
      </c>
      <c r="I97" s="67" t="s">
        <v>161</v>
      </c>
      <c r="J97" s="67" t="s">
        <v>161</v>
      </c>
      <c r="K97" s="67" t="s">
        <v>161</v>
      </c>
      <c r="L97" s="67" t="s">
        <v>825</v>
      </c>
      <c r="M97" s="67" t="s">
        <v>826</v>
      </c>
      <c r="N97" s="67" t="s">
        <v>826</v>
      </c>
      <c r="O97" s="67" t="s">
        <v>165</v>
      </c>
      <c r="P97" s="67" t="s">
        <v>827</v>
      </c>
    </row>
    <row r="98" s="43" customFormat="1" customHeight="1" spans="1:16">
      <c r="A98" s="67" t="s">
        <v>828</v>
      </c>
      <c r="B98" s="67">
        <v>26.89</v>
      </c>
      <c r="C98" s="67">
        <v>2</v>
      </c>
      <c r="D98" s="67" t="s">
        <v>232</v>
      </c>
      <c r="E98" s="67" t="s">
        <v>317</v>
      </c>
      <c r="F98" s="67" t="s">
        <v>12</v>
      </c>
      <c r="G98" s="67" t="s">
        <v>829</v>
      </c>
      <c r="H98" s="67" t="s">
        <v>830</v>
      </c>
      <c r="I98" s="67" t="s">
        <v>161</v>
      </c>
      <c r="J98" s="67" t="s">
        <v>161</v>
      </c>
      <c r="K98" s="67" t="s">
        <v>161</v>
      </c>
      <c r="L98" s="67" t="s">
        <v>831</v>
      </c>
      <c r="M98" s="67" t="s">
        <v>832</v>
      </c>
      <c r="N98" s="67" t="s">
        <v>832</v>
      </c>
      <c r="O98" s="67" t="s">
        <v>165</v>
      </c>
      <c r="P98" s="67" t="s">
        <v>833</v>
      </c>
    </row>
    <row r="99" s="43" customFormat="1" customHeight="1" spans="1:16">
      <c r="A99" s="67" t="s">
        <v>834</v>
      </c>
      <c r="B99" s="67">
        <v>30.85</v>
      </c>
      <c r="C99" s="67">
        <v>3</v>
      </c>
      <c r="D99" s="67" t="s">
        <v>246</v>
      </c>
      <c r="E99" s="67" t="s">
        <v>835</v>
      </c>
      <c r="F99" s="67" t="s">
        <v>12</v>
      </c>
      <c r="G99" s="67" t="s">
        <v>836</v>
      </c>
      <c r="H99" s="67" t="s">
        <v>837</v>
      </c>
      <c r="I99" s="67" t="s">
        <v>161</v>
      </c>
      <c r="J99" s="67" t="s">
        <v>161</v>
      </c>
      <c r="K99" s="67" t="s">
        <v>161</v>
      </c>
      <c r="L99" s="67" t="s">
        <v>838</v>
      </c>
      <c r="M99" s="67" t="s">
        <v>839</v>
      </c>
      <c r="N99" s="67" t="s">
        <v>839</v>
      </c>
      <c r="O99" s="67" t="s">
        <v>165</v>
      </c>
      <c r="P99" s="67" t="s">
        <v>840</v>
      </c>
    </row>
    <row r="100" s="43" customFormat="1" customHeight="1" spans="1:16">
      <c r="A100" s="67" t="s">
        <v>841</v>
      </c>
      <c r="B100" s="67">
        <v>26.89</v>
      </c>
      <c r="C100" s="67">
        <v>2</v>
      </c>
      <c r="D100" s="67" t="s">
        <v>364</v>
      </c>
      <c r="E100" s="67" t="s">
        <v>814</v>
      </c>
      <c r="F100" s="67" t="s">
        <v>12</v>
      </c>
      <c r="G100" s="67" t="s">
        <v>842</v>
      </c>
      <c r="H100" s="67" t="s">
        <v>843</v>
      </c>
      <c r="I100" s="67" t="s">
        <v>161</v>
      </c>
      <c r="J100" s="67" t="s">
        <v>161</v>
      </c>
      <c r="K100" s="67" t="s">
        <v>161</v>
      </c>
      <c r="L100" s="67" t="s">
        <v>844</v>
      </c>
      <c r="M100" s="67" t="s">
        <v>845</v>
      </c>
      <c r="N100" s="67" t="s">
        <v>845</v>
      </c>
      <c r="O100" s="67" t="s">
        <v>165</v>
      </c>
      <c r="P100" s="67" t="s">
        <v>846</v>
      </c>
    </row>
    <row r="101" s="43" customFormat="1" customHeight="1" spans="1:16">
      <c r="A101" s="67" t="s">
        <v>847</v>
      </c>
      <c r="B101" s="67">
        <v>33.43</v>
      </c>
      <c r="C101" s="67">
        <v>3</v>
      </c>
      <c r="D101" s="67" t="s">
        <v>848</v>
      </c>
      <c r="E101" s="67" t="s">
        <v>849</v>
      </c>
      <c r="F101" s="67" t="s">
        <v>98</v>
      </c>
      <c r="G101" s="67" t="s">
        <v>850</v>
      </c>
      <c r="H101" s="67" t="s">
        <v>851</v>
      </c>
      <c r="I101" s="67" t="s">
        <v>161</v>
      </c>
      <c r="J101" s="67" t="s">
        <v>161</v>
      </c>
      <c r="K101" s="67" t="s">
        <v>161</v>
      </c>
      <c r="L101" s="67" t="s">
        <v>852</v>
      </c>
      <c r="M101" s="67" t="s">
        <v>853</v>
      </c>
      <c r="N101" s="67" t="s">
        <v>853</v>
      </c>
      <c r="O101" s="67" t="s">
        <v>165</v>
      </c>
      <c r="P101" s="67" t="s">
        <v>854</v>
      </c>
    </row>
    <row r="102" s="43" customFormat="1" customHeight="1" spans="1:16">
      <c r="A102" s="67" t="s">
        <v>855</v>
      </c>
      <c r="B102" s="67">
        <v>61.6</v>
      </c>
      <c r="C102" s="67">
        <v>5</v>
      </c>
      <c r="D102" s="67" t="s">
        <v>856</v>
      </c>
      <c r="E102" s="67" t="s">
        <v>324</v>
      </c>
      <c r="F102" s="67" t="s">
        <v>12</v>
      </c>
      <c r="G102" s="67" t="s">
        <v>857</v>
      </c>
      <c r="H102" s="67" t="s">
        <v>858</v>
      </c>
      <c r="I102" s="67" t="s">
        <v>161</v>
      </c>
      <c r="J102" s="67" t="s">
        <v>161</v>
      </c>
      <c r="K102" s="67" t="s">
        <v>161</v>
      </c>
      <c r="L102" s="67" t="s">
        <v>859</v>
      </c>
      <c r="M102" s="67" t="s">
        <v>860</v>
      </c>
      <c r="N102" s="67" t="s">
        <v>860</v>
      </c>
      <c r="O102" s="67" t="s">
        <v>165</v>
      </c>
      <c r="P102" s="67" t="s">
        <v>861</v>
      </c>
    </row>
    <row r="103" s="43" customFormat="1" customHeight="1" spans="1:16">
      <c r="A103" s="67" t="s">
        <v>862</v>
      </c>
      <c r="B103" s="67">
        <v>26.89</v>
      </c>
      <c r="C103" s="67">
        <v>2</v>
      </c>
      <c r="D103" s="67" t="s">
        <v>232</v>
      </c>
      <c r="E103" s="67" t="s">
        <v>269</v>
      </c>
      <c r="F103" s="67" t="s">
        <v>12</v>
      </c>
      <c r="G103" s="67" t="s">
        <v>863</v>
      </c>
      <c r="H103" s="67" t="s">
        <v>864</v>
      </c>
      <c r="I103" s="67" t="s">
        <v>161</v>
      </c>
      <c r="J103" s="67" t="s">
        <v>161</v>
      </c>
      <c r="K103" s="67" t="s">
        <v>161</v>
      </c>
      <c r="L103" s="67" t="s">
        <v>865</v>
      </c>
      <c r="M103" s="67" t="s">
        <v>866</v>
      </c>
      <c r="N103" s="67" t="s">
        <v>866</v>
      </c>
      <c r="O103" s="67" t="s">
        <v>165</v>
      </c>
      <c r="P103" s="67" t="s">
        <v>867</v>
      </c>
    </row>
    <row r="104" s="43" customFormat="1" customHeight="1" spans="1:16">
      <c r="A104" s="67" t="s">
        <v>868</v>
      </c>
      <c r="B104" s="67">
        <v>39.34</v>
      </c>
      <c r="C104" s="67">
        <v>3</v>
      </c>
      <c r="D104" s="67" t="s">
        <v>173</v>
      </c>
      <c r="E104" s="67" t="s">
        <v>869</v>
      </c>
      <c r="F104" s="67" t="s">
        <v>12</v>
      </c>
      <c r="G104" s="67" t="s">
        <v>870</v>
      </c>
      <c r="H104" s="67" t="s">
        <v>871</v>
      </c>
      <c r="I104" s="67" t="s">
        <v>161</v>
      </c>
      <c r="J104" s="67" t="s">
        <v>161</v>
      </c>
      <c r="K104" s="67" t="s">
        <v>872</v>
      </c>
      <c r="L104" s="67" t="s">
        <v>873</v>
      </c>
      <c r="M104" s="67" t="s">
        <v>874</v>
      </c>
      <c r="N104" s="67" t="s">
        <v>874</v>
      </c>
      <c r="O104" s="67" t="s">
        <v>165</v>
      </c>
      <c r="P104" s="67" t="s">
        <v>875</v>
      </c>
    </row>
    <row r="105" s="43" customFormat="1" customHeight="1" spans="1:16">
      <c r="A105" s="67" t="s">
        <v>876</v>
      </c>
      <c r="B105" s="67">
        <v>32.12</v>
      </c>
      <c r="C105" s="67">
        <v>3</v>
      </c>
      <c r="D105" s="67" t="s">
        <v>877</v>
      </c>
      <c r="E105" s="67" t="s">
        <v>878</v>
      </c>
      <c r="F105" s="67" t="s">
        <v>90</v>
      </c>
      <c r="G105" s="67" t="s">
        <v>879</v>
      </c>
      <c r="H105" s="67" t="s">
        <v>880</v>
      </c>
      <c r="I105" s="67" t="s">
        <v>161</v>
      </c>
      <c r="J105" s="67" t="s">
        <v>161</v>
      </c>
      <c r="K105" s="67" t="s">
        <v>161</v>
      </c>
      <c r="L105" s="67" t="s">
        <v>881</v>
      </c>
      <c r="M105" s="67" t="s">
        <v>882</v>
      </c>
      <c r="N105" s="67" t="s">
        <v>882</v>
      </c>
      <c r="O105" s="67" t="s">
        <v>165</v>
      </c>
      <c r="P105" s="67" t="s">
        <v>854</v>
      </c>
    </row>
    <row r="106" s="43" customFormat="1" customHeight="1" spans="1:16">
      <c r="A106" s="67" t="s">
        <v>883</v>
      </c>
      <c r="B106" s="67">
        <v>47.8</v>
      </c>
      <c r="C106" s="67">
        <v>4</v>
      </c>
      <c r="D106" s="67" t="s">
        <v>585</v>
      </c>
      <c r="E106" s="67" t="s">
        <v>884</v>
      </c>
      <c r="F106" s="67" t="s">
        <v>12</v>
      </c>
      <c r="G106" s="67" t="s">
        <v>885</v>
      </c>
      <c r="H106" s="67" t="s">
        <v>886</v>
      </c>
      <c r="I106" s="67" t="s">
        <v>161</v>
      </c>
      <c r="J106" s="67" t="s">
        <v>161</v>
      </c>
      <c r="K106" s="67" t="s">
        <v>161</v>
      </c>
      <c r="L106" s="67" t="s">
        <v>887</v>
      </c>
      <c r="M106" s="67" t="s">
        <v>888</v>
      </c>
      <c r="N106" s="67" t="s">
        <v>888</v>
      </c>
      <c r="O106" s="67" t="s">
        <v>165</v>
      </c>
      <c r="P106" s="67" t="s">
        <v>889</v>
      </c>
    </row>
    <row r="107" s="43" customFormat="1" customHeight="1" spans="1:16">
      <c r="A107" s="67" t="s">
        <v>890</v>
      </c>
      <c r="B107" s="67">
        <v>30.8</v>
      </c>
      <c r="C107" s="67">
        <v>3</v>
      </c>
      <c r="D107" s="67" t="s">
        <v>173</v>
      </c>
      <c r="E107" s="67" t="s">
        <v>324</v>
      </c>
      <c r="F107" s="67" t="s">
        <v>78</v>
      </c>
      <c r="G107" s="67" t="s">
        <v>891</v>
      </c>
      <c r="H107" s="67" t="s">
        <v>892</v>
      </c>
      <c r="I107" s="67" t="s">
        <v>161</v>
      </c>
      <c r="J107" s="67" t="s">
        <v>161</v>
      </c>
      <c r="K107" s="67" t="s">
        <v>161</v>
      </c>
      <c r="L107" s="67" t="s">
        <v>893</v>
      </c>
      <c r="M107" s="67" t="s">
        <v>894</v>
      </c>
      <c r="N107" s="67" t="s">
        <v>894</v>
      </c>
      <c r="O107" s="67" t="s">
        <v>165</v>
      </c>
      <c r="P107" s="67" t="s">
        <v>861</v>
      </c>
    </row>
    <row r="108" s="43" customFormat="1" customHeight="1" spans="1:16">
      <c r="A108" s="67" t="s">
        <v>895</v>
      </c>
      <c r="B108" s="67">
        <v>30.85</v>
      </c>
      <c r="C108" s="67">
        <v>3</v>
      </c>
      <c r="D108" s="67" t="s">
        <v>246</v>
      </c>
      <c r="E108" s="67" t="s">
        <v>247</v>
      </c>
      <c r="F108" s="67" t="s">
        <v>12</v>
      </c>
      <c r="G108" s="67" t="s">
        <v>896</v>
      </c>
      <c r="H108" s="67" t="s">
        <v>897</v>
      </c>
      <c r="I108" s="67" t="s">
        <v>161</v>
      </c>
      <c r="J108" s="67" t="s">
        <v>161</v>
      </c>
      <c r="K108" s="67" t="s">
        <v>161</v>
      </c>
      <c r="L108" s="67" t="s">
        <v>898</v>
      </c>
      <c r="M108" s="67" t="s">
        <v>899</v>
      </c>
      <c r="N108" s="67" t="s">
        <v>899</v>
      </c>
      <c r="O108" s="67" t="s">
        <v>165</v>
      </c>
      <c r="P108" s="67" t="s">
        <v>900</v>
      </c>
    </row>
    <row r="109" s="43" customFormat="1" customHeight="1" spans="1:16">
      <c r="A109" s="67" t="s">
        <v>901</v>
      </c>
      <c r="B109" s="67">
        <v>26.89</v>
      </c>
      <c r="C109" s="67">
        <v>2</v>
      </c>
      <c r="D109" s="67" t="s">
        <v>232</v>
      </c>
      <c r="E109" s="67" t="s">
        <v>269</v>
      </c>
      <c r="F109" s="67" t="s">
        <v>12</v>
      </c>
      <c r="G109" s="67" t="s">
        <v>902</v>
      </c>
      <c r="H109" s="67" t="s">
        <v>903</v>
      </c>
      <c r="I109" s="67" t="s">
        <v>161</v>
      </c>
      <c r="J109" s="67" t="s">
        <v>161</v>
      </c>
      <c r="K109" s="67" t="s">
        <v>161</v>
      </c>
      <c r="L109" s="67" t="s">
        <v>904</v>
      </c>
      <c r="M109" s="67" t="s">
        <v>905</v>
      </c>
      <c r="N109" s="67" t="s">
        <v>905</v>
      </c>
      <c r="O109" s="67" t="s">
        <v>165</v>
      </c>
      <c r="P109" s="67" t="s">
        <v>906</v>
      </c>
    </row>
    <row r="110" s="43" customFormat="1" customHeight="1" spans="1:16">
      <c r="A110" s="67" t="s">
        <v>907</v>
      </c>
      <c r="B110" s="67">
        <v>35.7</v>
      </c>
      <c r="C110" s="67">
        <v>4</v>
      </c>
      <c r="D110" s="67" t="s">
        <v>565</v>
      </c>
      <c r="E110" s="67" t="s">
        <v>566</v>
      </c>
      <c r="F110" s="67" t="s">
        <v>12</v>
      </c>
      <c r="G110" s="67" t="s">
        <v>908</v>
      </c>
      <c r="H110" s="67" t="s">
        <v>909</v>
      </c>
      <c r="I110" s="67" t="s">
        <v>161</v>
      </c>
      <c r="J110" s="67" t="s">
        <v>161</v>
      </c>
      <c r="K110" s="67" t="s">
        <v>161</v>
      </c>
      <c r="L110" s="67" t="s">
        <v>910</v>
      </c>
      <c r="M110" s="67" t="s">
        <v>911</v>
      </c>
      <c r="N110" s="67" t="s">
        <v>911</v>
      </c>
      <c r="O110" s="67" t="s">
        <v>165</v>
      </c>
      <c r="P110" s="67" t="s">
        <v>912</v>
      </c>
    </row>
    <row r="111" s="43" customFormat="1" customHeight="1" spans="1:16">
      <c r="A111" s="67" t="s">
        <v>913</v>
      </c>
      <c r="B111" s="67">
        <v>30.8</v>
      </c>
      <c r="C111" s="67">
        <v>3</v>
      </c>
      <c r="D111" s="67" t="s">
        <v>173</v>
      </c>
      <c r="E111" s="67" t="s">
        <v>324</v>
      </c>
      <c r="F111" s="67" t="s">
        <v>12</v>
      </c>
      <c r="G111" s="67" t="s">
        <v>914</v>
      </c>
      <c r="H111" s="67" t="s">
        <v>915</v>
      </c>
      <c r="I111" s="67" t="s">
        <v>161</v>
      </c>
      <c r="J111" s="67" t="s">
        <v>161</v>
      </c>
      <c r="K111" s="67" t="s">
        <v>161</v>
      </c>
      <c r="L111" s="67" t="s">
        <v>916</v>
      </c>
      <c r="M111" s="67" t="s">
        <v>917</v>
      </c>
      <c r="N111" s="67" t="s">
        <v>917</v>
      </c>
      <c r="O111" s="67" t="s">
        <v>165</v>
      </c>
      <c r="P111" s="67" t="s">
        <v>918</v>
      </c>
    </row>
    <row r="112" s="43" customFormat="1" customHeight="1" spans="1:16">
      <c r="A112" s="67" t="s">
        <v>919</v>
      </c>
      <c r="B112" s="67">
        <v>26.89</v>
      </c>
      <c r="C112" s="67">
        <v>2</v>
      </c>
      <c r="D112" s="67" t="s">
        <v>356</v>
      </c>
      <c r="E112" s="67" t="s">
        <v>357</v>
      </c>
      <c r="F112" s="67" t="s">
        <v>12</v>
      </c>
      <c r="G112" s="67" t="s">
        <v>920</v>
      </c>
      <c r="H112" s="67" t="s">
        <v>921</v>
      </c>
      <c r="I112" s="67" t="s">
        <v>161</v>
      </c>
      <c r="J112" s="67" t="s">
        <v>161</v>
      </c>
      <c r="K112" s="67" t="s">
        <v>161</v>
      </c>
      <c r="L112" s="67" t="s">
        <v>922</v>
      </c>
      <c r="M112" s="67" t="s">
        <v>923</v>
      </c>
      <c r="N112" s="67" t="s">
        <v>923</v>
      </c>
      <c r="O112" s="67" t="s">
        <v>165</v>
      </c>
      <c r="P112" s="67" t="s">
        <v>924</v>
      </c>
    </row>
    <row r="113" s="43" customFormat="1" customHeight="1" spans="1:16">
      <c r="A113" s="67" t="s">
        <v>925</v>
      </c>
      <c r="B113" s="67">
        <v>11.94</v>
      </c>
      <c r="C113" s="67">
        <v>1</v>
      </c>
      <c r="D113" s="67" t="s">
        <v>926</v>
      </c>
      <c r="E113" s="67" t="s">
        <v>927</v>
      </c>
      <c r="F113" s="67" t="s">
        <v>12</v>
      </c>
      <c r="G113" s="67" t="s">
        <v>928</v>
      </c>
      <c r="H113" s="67" t="s">
        <v>929</v>
      </c>
      <c r="I113" s="67" t="s">
        <v>161</v>
      </c>
      <c r="J113" s="67" t="s">
        <v>161</v>
      </c>
      <c r="K113" s="67" t="s">
        <v>161</v>
      </c>
      <c r="L113" s="67" t="s">
        <v>930</v>
      </c>
      <c r="M113" s="67" t="s">
        <v>931</v>
      </c>
      <c r="N113" s="67" t="s">
        <v>931</v>
      </c>
      <c r="O113" s="67" t="s">
        <v>165</v>
      </c>
      <c r="P113" s="67" t="s">
        <v>932</v>
      </c>
    </row>
    <row r="114" s="43" customFormat="1" customHeight="1" spans="1:16">
      <c r="A114" s="67" t="s">
        <v>933</v>
      </c>
      <c r="B114" s="67">
        <v>37.75</v>
      </c>
      <c r="C114" s="67">
        <v>4</v>
      </c>
      <c r="D114" s="67" t="s">
        <v>731</v>
      </c>
      <c r="E114" s="67" t="s">
        <v>934</v>
      </c>
      <c r="F114" s="67" t="s">
        <v>12</v>
      </c>
      <c r="G114" s="67" t="s">
        <v>935</v>
      </c>
      <c r="H114" s="67" t="s">
        <v>936</v>
      </c>
      <c r="I114" s="67" t="s">
        <v>161</v>
      </c>
      <c r="J114" s="67" t="s">
        <v>161</v>
      </c>
      <c r="K114" s="67" t="s">
        <v>161</v>
      </c>
      <c r="L114" s="67" t="s">
        <v>937</v>
      </c>
      <c r="M114" s="67" t="s">
        <v>938</v>
      </c>
      <c r="N114" s="67" t="s">
        <v>938</v>
      </c>
      <c r="O114" s="67" t="s">
        <v>165</v>
      </c>
      <c r="P114" s="67" t="s">
        <v>939</v>
      </c>
    </row>
    <row r="115" s="43" customFormat="1" customHeight="1" spans="1:16">
      <c r="A115" s="67" t="s">
        <v>940</v>
      </c>
      <c r="B115" s="67">
        <v>35.75</v>
      </c>
      <c r="C115" s="67">
        <v>4</v>
      </c>
      <c r="D115" s="67" t="s">
        <v>941</v>
      </c>
      <c r="E115" s="67" t="s">
        <v>942</v>
      </c>
      <c r="F115" s="67" t="s">
        <v>12</v>
      </c>
      <c r="G115" s="67" t="s">
        <v>943</v>
      </c>
      <c r="H115" s="67" t="s">
        <v>944</v>
      </c>
      <c r="I115" s="67" t="s">
        <v>161</v>
      </c>
      <c r="J115" s="67" t="s">
        <v>161</v>
      </c>
      <c r="K115" s="67" t="s">
        <v>161</v>
      </c>
      <c r="L115" s="67" t="s">
        <v>945</v>
      </c>
      <c r="M115" s="67" t="s">
        <v>946</v>
      </c>
      <c r="N115" s="67" t="s">
        <v>946</v>
      </c>
      <c r="O115" s="67" t="s">
        <v>165</v>
      </c>
      <c r="P115" s="67" t="s">
        <v>947</v>
      </c>
    </row>
    <row r="116" s="43" customFormat="1" customHeight="1" spans="1:16">
      <c r="A116" s="67" t="s">
        <v>948</v>
      </c>
      <c r="B116" s="67">
        <v>62.2</v>
      </c>
      <c r="C116" s="67">
        <v>4</v>
      </c>
      <c r="D116" s="67" t="s">
        <v>949</v>
      </c>
      <c r="E116" s="67" t="s">
        <v>950</v>
      </c>
      <c r="F116" s="67" t="s">
        <v>12</v>
      </c>
      <c r="G116" s="67" t="s">
        <v>951</v>
      </c>
      <c r="H116" s="67" t="s">
        <v>952</v>
      </c>
      <c r="I116" s="67" t="s">
        <v>161</v>
      </c>
      <c r="J116" s="67" t="s">
        <v>161</v>
      </c>
      <c r="K116" s="67" t="s">
        <v>161</v>
      </c>
      <c r="L116" s="67" t="s">
        <v>953</v>
      </c>
      <c r="M116" s="67" t="s">
        <v>954</v>
      </c>
      <c r="N116" s="67" t="s">
        <v>954</v>
      </c>
      <c r="O116" s="67" t="s">
        <v>165</v>
      </c>
      <c r="P116" s="67" t="s">
        <v>955</v>
      </c>
    </row>
    <row r="117" s="43" customFormat="1" customHeight="1" spans="1:16">
      <c r="A117" s="67" t="s">
        <v>956</v>
      </c>
      <c r="B117" s="67">
        <v>66.5</v>
      </c>
      <c r="C117" s="67">
        <v>8</v>
      </c>
      <c r="D117" s="67" t="s">
        <v>957</v>
      </c>
      <c r="E117" s="67" t="s">
        <v>958</v>
      </c>
      <c r="F117" s="67" t="s">
        <v>12</v>
      </c>
      <c r="G117" s="67" t="s">
        <v>959</v>
      </c>
      <c r="H117" s="67" t="s">
        <v>960</v>
      </c>
      <c r="I117" s="67" t="s">
        <v>161</v>
      </c>
      <c r="J117" s="67" t="s">
        <v>161</v>
      </c>
      <c r="K117" s="67" t="s">
        <v>161</v>
      </c>
      <c r="L117" s="67" t="s">
        <v>961</v>
      </c>
      <c r="M117" s="67" t="s">
        <v>962</v>
      </c>
      <c r="N117" s="67" t="s">
        <v>962</v>
      </c>
      <c r="O117" s="67" t="s">
        <v>165</v>
      </c>
      <c r="P117" s="67" t="s">
        <v>963</v>
      </c>
    </row>
    <row r="118" s="43" customFormat="1" customHeight="1" spans="1:16">
      <c r="A118" s="67" t="s">
        <v>964</v>
      </c>
      <c r="B118" s="67">
        <v>26.89</v>
      </c>
      <c r="C118" s="67">
        <v>2</v>
      </c>
      <c r="D118" s="67" t="s">
        <v>232</v>
      </c>
      <c r="E118" s="67" t="s">
        <v>269</v>
      </c>
      <c r="F118" s="67" t="s">
        <v>12</v>
      </c>
      <c r="G118" s="67" t="s">
        <v>965</v>
      </c>
      <c r="H118" s="67" t="s">
        <v>966</v>
      </c>
      <c r="I118" s="67" t="s">
        <v>161</v>
      </c>
      <c r="J118" s="67" t="s">
        <v>161</v>
      </c>
      <c r="K118" s="67" t="s">
        <v>967</v>
      </c>
      <c r="L118" s="67" t="s">
        <v>968</v>
      </c>
      <c r="M118" s="67" t="s">
        <v>969</v>
      </c>
      <c r="N118" s="67" t="s">
        <v>969</v>
      </c>
      <c r="O118" s="67" t="s">
        <v>165</v>
      </c>
      <c r="P118" s="67" t="s">
        <v>970</v>
      </c>
    </row>
    <row r="119" s="43" customFormat="1" customHeight="1" spans="1:16">
      <c r="A119" s="67" t="s">
        <v>971</v>
      </c>
      <c r="B119" s="67">
        <v>30.25</v>
      </c>
      <c r="C119" s="67">
        <v>3</v>
      </c>
      <c r="D119" s="67" t="s">
        <v>972</v>
      </c>
      <c r="E119" s="67" t="s">
        <v>973</v>
      </c>
      <c r="F119" s="67" t="s">
        <v>90</v>
      </c>
      <c r="G119" s="67" t="s">
        <v>974</v>
      </c>
      <c r="H119" s="67" t="s">
        <v>975</v>
      </c>
      <c r="I119" s="67" t="s">
        <v>161</v>
      </c>
      <c r="J119" s="67" t="s">
        <v>161</v>
      </c>
      <c r="K119" s="67" t="s">
        <v>161</v>
      </c>
      <c r="L119" s="67" t="s">
        <v>976</v>
      </c>
      <c r="M119" s="67" t="s">
        <v>977</v>
      </c>
      <c r="N119" s="67" t="s">
        <v>977</v>
      </c>
      <c r="O119" s="67" t="s">
        <v>165</v>
      </c>
      <c r="P119" s="67" t="s">
        <v>978</v>
      </c>
    </row>
    <row r="120" s="43" customFormat="1" customHeight="1" spans="1:16">
      <c r="A120" s="67" t="s">
        <v>979</v>
      </c>
      <c r="B120" s="67">
        <v>26.89</v>
      </c>
      <c r="C120" s="67">
        <v>2</v>
      </c>
      <c r="D120" s="67" t="s">
        <v>232</v>
      </c>
      <c r="E120" s="67" t="s">
        <v>269</v>
      </c>
      <c r="F120" s="67" t="s">
        <v>12</v>
      </c>
      <c r="G120" s="67" t="s">
        <v>980</v>
      </c>
      <c r="H120" s="67" t="s">
        <v>981</v>
      </c>
      <c r="I120" s="67" t="s">
        <v>161</v>
      </c>
      <c r="J120" s="67" t="s">
        <v>982</v>
      </c>
      <c r="K120" s="67" t="s">
        <v>983</v>
      </c>
      <c r="L120" s="67" t="s">
        <v>984</v>
      </c>
      <c r="M120" s="67" t="s">
        <v>985</v>
      </c>
      <c r="N120" s="67" t="s">
        <v>985</v>
      </c>
      <c r="O120" s="67" t="s">
        <v>165</v>
      </c>
      <c r="P120" s="67" t="s">
        <v>986</v>
      </c>
    </row>
    <row r="121" s="43" customFormat="1" customHeight="1" spans="1:16">
      <c r="A121" s="67" t="s">
        <v>987</v>
      </c>
      <c r="B121" s="67">
        <v>53.69</v>
      </c>
      <c r="C121" s="67">
        <v>6</v>
      </c>
      <c r="D121" s="67" t="s">
        <v>988</v>
      </c>
      <c r="E121" s="67" t="s">
        <v>989</v>
      </c>
      <c r="F121" s="67" t="s">
        <v>12</v>
      </c>
      <c r="G121" s="67" t="s">
        <v>990</v>
      </c>
      <c r="H121" s="67" t="s">
        <v>991</v>
      </c>
      <c r="I121" s="67" t="s">
        <v>161</v>
      </c>
      <c r="J121" s="67" t="s">
        <v>161</v>
      </c>
      <c r="K121" s="67" t="s">
        <v>161</v>
      </c>
      <c r="L121" s="67" t="s">
        <v>992</v>
      </c>
      <c r="M121" s="67" t="s">
        <v>993</v>
      </c>
      <c r="N121" s="67" t="s">
        <v>993</v>
      </c>
      <c r="O121" s="67" t="s">
        <v>165</v>
      </c>
      <c r="P121" s="67" t="s">
        <v>994</v>
      </c>
    </row>
    <row r="122" s="43" customFormat="1" customHeight="1" spans="1:16">
      <c r="A122" s="67" t="s">
        <v>995</v>
      </c>
      <c r="B122" s="67">
        <v>35.7</v>
      </c>
      <c r="C122" s="67">
        <v>4</v>
      </c>
      <c r="D122" s="67" t="s">
        <v>565</v>
      </c>
      <c r="E122" s="67" t="s">
        <v>566</v>
      </c>
      <c r="F122" s="67" t="s">
        <v>12</v>
      </c>
      <c r="G122" s="67" t="s">
        <v>996</v>
      </c>
      <c r="H122" s="67" t="s">
        <v>997</v>
      </c>
      <c r="I122" s="67" t="s">
        <v>161</v>
      </c>
      <c r="J122" s="67" t="s">
        <v>161</v>
      </c>
      <c r="K122" s="67" t="s">
        <v>161</v>
      </c>
      <c r="L122" s="67" t="s">
        <v>998</v>
      </c>
      <c r="M122" s="67" t="s">
        <v>999</v>
      </c>
      <c r="N122" s="67" t="s">
        <v>999</v>
      </c>
      <c r="O122" s="67" t="s">
        <v>165</v>
      </c>
      <c r="P122" s="67" t="s">
        <v>1000</v>
      </c>
    </row>
    <row r="123" s="43" customFormat="1" customHeight="1" spans="1:16">
      <c r="A123" s="67" t="s">
        <v>1001</v>
      </c>
      <c r="B123" s="67">
        <v>59.65</v>
      </c>
      <c r="C123" s="67">
        <v>6</v>
      </c>
      <c r="D123" s="67" t="s">
        <v>1002</v>
      </c>
      <c r="E123" s="67" t="s">
        <v>1003</v>
      </c>
      <c r="F123" s="67" t="s">
        <v>12</v>
      </c>
      <c r="G123" s="67" t="s">
        <v>1004</v>
      </c>
      <c r="H123" s="67" t="s">
        <v>1005</v>
      </c>
      <c r="I123" s="67" t="s">
        <v>161</v>
      </c>
      <c r="J123" s="67" t="s">
        <v>161</v>
      </c>
      <c r="K123" s="67" t="s">
        <v>161</v>
      </c>
      <c r="L123" s="67" t="s">
        <v>1006</v>
      </c>
      <c r="M123" s="67" t="s">
        <v>1007</v>
      </c>
      <c r="N123" s="67" t="s">
        <v>1007</v>
      </c>
      <c r="O123" s="67" t="s">
        <v>165</v>
      </c>
      <c r="P123" s="67" t="s">
        <v>1008</v>
      </c>
    </row>
    <row r="124" s="43" customFormat="1" customHeight="1" spans="1:16">
      <c r="A124" s="67" t="s">
        <v>1009</v>
      </c>
      <c r="B124" s="67">
        <v>47.8</v>
      </c>
      <c r="C124" s="67">
        <v>4</v>
      </c>
      <c r="D124" s="67" t="s">
        <v>1010</v>
      </c>
      <c r="E124" s="67" t="s">
        <v>1011</v>
      </c>
      <c r="F124" s="67" t="s">
        <v>12</v>
      </c>
      <c r="G124" s="67" t="s">
        <v>1012</v>
      </c>
      <c r="H124" s="67" t="s">
        <v>1013</v>
      </c>
      <c r="I124" s="67" t="s">
        <v>161</v>
      </c>
      <c r="J124" s="67" t="s">
        <v>161</v>
      </c>
      <c r="K124" s="67" t="s">
        <v>161</v>
      </c>
      <c r="L124" s="67" t="s">
        <v>1014</v>
      </c>
      <c r="M124" s="67" t="s">
        <v>1015</v>
      </c>
      <c r="N124" s="67" t="s">
        <v>1015</v>
      </c>
      <c r="O124" s="67" t="s">
        <v>165</v>
      </c>
      <c r="P124" s="67" t="s">
        <v>1016</v>
      </c>
    </row>
    <row r="125" s="43" customFormat="1" customHeight="1" spans="1:16">
      <c r="A125" s="67" t="s">
        <v>1017</v>
      </c>
      <c r="B125" s="67">
        <v>26.89</v>
      </c>
      <c r="C125" s="67">
        <v>2</v>
      </c>
      <c r="D125" s="67" t="s">
        <v>232</v>
      </c>
      <c r="E125" s="67" t="s">
        <v>269</v>
      </c>
      <c r="F125" s="67" t="s">
        <v>12</v>
      </c>
      <c r="G125" s="67" t="s">
        <v>1018</v>
      </c>
      <c r="H125" s="67" t="s">
        <v>1019</v>
      </c>
      <c r="I125" s="67" t="s">
        <v>161</v>
      </c>
      <c r="J125" s="67" t="s">
        <v>161</v>
      </c>
      <c r="K125" s="67" t="s">
        <v>161</v>
      </c>
      <c r="L125" s="67" t="s">
        <v>1020</v>
      </c>
      <c r="M125" s="67" t="s">
        <v>1021</v>
      </c>
      <c r="N125" s="67" t="s">
        <v>1021</v>
      </c>
      <c r="O125" s="67" t="s">
        <v>165</v>
      </c>
      <c r="P125" s="67" t="s">
        <v>1022</v>
      </c>
    </row>
    <row r="126" s="43" customFormat="1" customHeight="1" spans="1:16">
      <c r="A126" s="67" t="s">
        <v>1023</v>
      </c>
      <c r="B126" s="67">
        <v>47.8</v>
      </c>
      <c r="C126" s="67">
        <v>4</v>
      </c>
      <c r="D126" s="67" t="s">
        <v>1024</v>
      </c>
      <c r="E126" s="67" t="s">
        <v>1025</v>
      </c>
      <c r="F126" s="67" t="s">
        <v>12</v>
      </c>
      <c r="G126" s="67" t="s">
        <v>1026</v>
      </c>
      <c r="H126" s="67" t="s">
        <v>1027</v>
      </c>
      <c r="I126" s="67" t="s">
        <v>161</v>
      </c>
      <c r="J126" s="67" t="s">
        <v>161</v>
      </c>
      <c r="K126" s="67" t="s">
        <v>161</v>
      </c>
      <c r="L126" s="67" t="s">
        <v>1028</v>
      </c>
      <c r="M126" s="67" t="s">
        <v>1029</v>
      </c>
      <c r="N126" s="67" t="s">
        <v>1029</v>
      </c>
      <c r="O126" s="67" t="s">
        <v>165</v>
      </c>
      <c r="P126" s="67" t="s">
        <v>1030</v>
      </c>
    </row>
    <row r="127" s="43" customFormat="1" customHeight="1" spans="1:16">
      <c r="A127" s="67" t="s">
        <v>1031</v>
      </c>
      <c r="B127" s="67">
        <v>26.89</v>
      </c>
      <c r="C127" s="67">
        <v>2</v>
      </c>
      <c r="D127" s="67" t="s">
        <v>232</v>
      </c>
      <c r="E127" s="67" t="s">
        <v>233</v>
      </c>
      <c r="F127" s="67" t="s">
        <v>12</v>
      </c>
      <c r="G127" s="67" t="s">
        <v>1032</v>
      </c>
      <c r="H127" s="67" t="s">
        <v>1033</v>
      </c>
      <c r="I127" s="67" t="s">
        <v>161</v>
      </c>
      <c r="J127" s="67" t="s">
        <v>161</v>
      </c>
      <c r="K127" s="67" t="s">
        <v>161</v>
      </c>
      <c r="L127" s="67" t="s">
        <v>1034</v>
      </c>
      <c r="M127" s="67" t="s">
        <v>1035</v>
      </c>
      <c r="N127" s="67" t="s">
        <v>1035</v>
      </c>
      <c r="O127" s="67" t="s">
        <v>165</v>
      </c>
      <c r="P127" s="67" t="s">
        <v>1036</v>
      </c>
    </row>
    <row r="128" s="43" customFormat="1" customHeight="1" spans="1:16">
      <c r="A128" s="67" t="s">
        <v>1037</v>
      </c>
      <c r="B128" s="67">
        <v>31.31</v>
      </c>
      <c r="C128" s="67">
        <v>3</v>
      </c>
      <c r="D128" s="67" t="s">
        <v>1038</v>
      </c>
      <c r="E128" s="67" t="s">
        <v>1039</v>
      </c>
      <c r="F128" s="67" t="s">
        <v>98</v>
      </c>
      <c r="G128" s="67" t="s">
        <v>1040</v>
      </c>
      <c r="H128" s="67" t="s">
        <v>1041</v>
      </c>
      <c r="I128" s="67" t="s">
        <v>161</v>
      </c>
      <c r="J128" s="67" t="s">
        <v>161</v>
      </c>
      <c r="K128" s="67" t="s">
        <v>161</v>
      </c>
      <c r="L128" s="67" t="s">
        <v>1042</v>
      </c>
      <c r="M128" s="67" t="s">
        <v>1043</v>
      </c>
      <c r="N128" s="67" t="s">
        <v>1043</v>
      </c>
      <c r="O128" s="67" t="s">
        <v>165</v>
      </c>
      <c r="P128" s="67" t="s">
        <v>1044</v>
      </c>
    </row>
    <row r="129" s="43" customFormat="1" customHeight="1" spans="1:16">
      <c r="A129" s="67" t="s">
        <v>1045</v>
      </c>
      <c r="B129" s="67">
        <v>30.85</v>
      </c>
      <c r="C129" s="67">
        <v>3</v>
      </c>
      <c r="D129" s="67" t="s">
        <v>246</v>
      </c>
      <c r="E129" s="67" t="s">
        <v>247</v>
      </c>
      <c r="F129" s="67" t="s">
        <v>12</v>
      </c>
      <c r="G129" s="67" t="s">
        <v>1046</v>
      </c>
      <c r="H129" s="67" t="s">
        <v>1047</v>
      </c>
      <c r="I129" s="67" t="s">
        <v>161</v>
      </c>
      <c r="J129" s="67" t="s">
        <v>161</v>
      </c>
      <c r="K129" s="67" t="s">
        <v>161</v>
      </c>
      <c r="L129" s="67" t="s">
        <v>1048</v>
      </c>
      <c r="M129" s="67" t="s">
        <v>1049</v>
      </c>
      <c r="N129" s="67" t="s">
        <v>1049</v>
      </c>
      <c r="O129" s="67" t="s">
        <v>165</v>
      </c>
      <c r="P129" s="67" t="s">
        <v>1050</v>
      </c>
    </row>
    <row r="130" s="43" customFormat="1" customHeight="1" spans="1:16">
      <c r="A130" s="67" t="s">
        <v>1051</v>
      </c>
      <c r="B130" s="67">
        <v>57.6</v>
      </c>
      <c r="C130" s="67">
        <v>6</v>
      </c>
      <c r="D130" s="67" t="s">
        <v>1052</v>
      </c>
      <c r="E130" s="67" t="s">
        <v>1053</v>
      </c>
      <c r="F130" s="67" t="s">
        <v>12</v>
      </c>
      <c r="G130" s="67" t="s">
        <v>1054</v>
      </c>
      <c r="H130" s="67" t="s">
        <v>1055</v>
      </c>
      <c r="I130" s="67" t="s">
        <v>161</v>
      </c>
      <c r="J130" s="67" t="s">
        <v>161</v>
      </c>
      <c r="K130" s="67" t="s">
        <v>161</v>
      </c>
      <c r="L130" s="67" t="s">
        <v>1056</v>
      </c>
      <c r="M130" s="67" t="s">
        <v>1057</v>
      </c>
      <c r="N130" s="67" t="s">
        <v>1057</v>
      </c>
      <c r="O130" s="67" t="s">
        <v>165</v>
      </c>
      <c r="P130" s="67" t="s">
        <v>1058</v>
      </c>
    </row>
    <row r="131" s="43" customFormat="1" customHeight="1" spans="1:16">
      <c r="A131" s="67" t="s">
        <v>1059</v>
      </c>
      <c r="B131" s="67">
        <v>18.37</v>
      </c>
      <c r="C131" s="67">
        <v>3</v>
      </c>
      <c r="D131" s="67" t="s">
        <v>1060</v>
      </c>
      <c r="E131" s="67" t="s">
        <v>1061</v>
      </c>
      <c r="F131" s="67" t="s">
        <v>98</v>
      </c>
      <c r="G131" s="67" t="s">
        <v>1062</v>
      </c>
      <c r="H131" s="67" t="s">
        <v>1063</v>
      </c>
      <c r="I131" s="67" t="s">
        <v>161</v>
      </c>
      <c r="J131" s="67" t="s">
        <v>161</v>
      </c>
      <c r="K131" s="67" t="s">
        <v>161</v>
      </c>
      <c r="L131" s="67" t="s">
        <v>1064</v>
      </c>
      <c r="M131" s="67" t="s">
        <v>1065</v>
      </c>
      <c r="N131" s="67" t="s">
        <v>1065</v>
      </c>
      <c r="O131" s="67" t="s">
        <v>165</v>
      </c>
      <c r="P131" s="67" t="s">
        <v>1066</v>
      </c>
    </row>
    <row r="132" s="43" customFormat="1" customHeight="1" spans="1:16">
      <c r="A132" s="67" t="s">
        <v>1067</v>
      </c>
      <c r="B132" s="67">
        <v>30.85</v>
      </c>
      <c r="C132" s="67">
        <v>3</v>
      </c>
      <c r="D132" s="67" t="s">
        <v>246</v>
      </c>
      <c r="E132" s="67" t="s">
        <v>247</v>
      </c>
      <c r="F132" s="67" t="s">
        <v>78</v>
      </c>
      <c r="G132" s="67" t="s">
        <v>1068</v>
      </c>
      <c r="H132" s="67" t="s">
        <v>1069</v>
      </c>
      <c r="I132" s="67" t="s">
        <v>161</v>
      </c>
      <c r="J132" s="67" t="s">
        <v>161</v>
      </c>
      <c r="K132" s="67" t="s">
        <v>161</v>
      </c>
      <c r="L132" s="67" t="s">
        <v>1070</v>
      </c>
      <c r="M132" s="67" t="s">
        <v>1071</v>
      </c>
      <c r="N132" s="67" t="s">
        <v>1071</v>
      </c>
      <c r="O132" s="67" t="s">
        <v>165</v>
      </c>
      <c r="P132" s="67" t="s">
        <v>1066</v>
      </c>
    </row>
    <row r="133" s="43" customFormat="1" customHeight="1" spans="1:16">
      <c r="A133" s="67" t="s">
        <v>1072</v>
      </c>
      <c r="B133" s="67">
        <v>35.7</v>
      </c>
      <c r="C133" s="67">
        <v>4</v>
      </c>
      <c r="D133" s="67" t="s">
        <v>1073</v>
      </c>
      <c r="E133" s="67" t="s">
        <v>1074</v>
      </c>
      <c r="F133" s="67" t="s">
        <v>12</v>
      </c>
      <c r="G133" s="67" t="s">
        <v>1075</v>
      </c>
      <c r="H133" s="67" t="s">
        <v>1076</v>
      </c>
      <c r="I133" s="67" t="s">
        <v>161</v>
      </c>
      <c r="J133" s="67" t="s">
        <v>161</v>
      </c>
      <c r="K133" s="67" t="s">
        <v>161</v>
      </c>
      <c r="L133" s="67" t="s">
        <v>1077</v>
      </c>
      <c r="M133" s="67" t="s">
        <v>1078</v>
      </c>
      <c r="N133" s="67" t="s">
        <v>1078</v>
      </c>
      <c r="O133" s="67" t="s">
        <v>165</v>
      </c>
      <c r="P133" s="67" t="s">
        <v>1079</v>
      </c>
    </row>
    <row r="134" s="43" customFormat="1" customHeight="1" spans="1:16">
      <c r="A134" s="67" t="s">
        <v>1080</v>
      </c>
      <c r="B134" s="67">
        <v>47.8</v>
      </c>
      <c r="C134" s="67">
        <v>4</v>
      </c>
      <c r="D134" s="67" t="s">
        <v>1081</v>
      </c>
      <c r="E134" s="67" t="s">
        <v>1082</v>
      </c>
      <c r="F134" s="67" t="s">
        <v>12</v>
      </c>
      <c r="G134" s="67" t="s">
        <v>1083</v>
      </c>
      <c r="H134" s="67" t="s">
        <v>1084</v>
      </c>
      <c r="I134" s="67" t="s">
        <v>161</v>
      </c>
      <c r="J134" s="67" t="s">
        <v>161</v>
      </c>
      <c r="K134" s="67" t="s">
        <v>1085</v>
      </c>
      <c r="L134" s="67" t="s">
        <v>1086</v>
      </c>
      <c r="M134" s="67" t="s">
        <v>1087</v>
      </c>
      <c r="N134" s="67" t="s">
        <v>1087</v>
      </c>
      <c r="O134" s="67" t="s">
        <v>165</v>
      </c>
      <c r="P134" s="67" t="s">
        <v>1088</v>
      </c>
    </row>
    <row r="135" s="43" customFormat="1" customHeight="1" spans="1:16">
      <c r="A135" s="67" t="s">
        <v>1089</v>
      </c>
      <c r="B135" s="67">
        <v>89.45</v>
      </c>
      <c r="C135" s="67">
        <v>9</v>
      </c>
      <c r="D135" s="67" t="s">
        <v>1090</v>
      </c>
      <c r="E135" s="67" t="s">
        <v>1091</v>
      </c>
      <c r="F135" s="67" t="s">
        <v>12</v>
      </c>
      <c r="G135" s="67" t="s">
        <v>1092</v>
      </c>
      <c r="H135" s="67" t="s">
        <v>1093</v>
      </c>
      <c r="I135" s="67" t="s">
        <v>161</v>
      </c>
      <c r="J135" s="67" t="s">
        <v>161</v>
      </c>
      <c r="K135" s="67" t="s">
        <v>161</v>
      </c>
      <c r="L135" s="67" t="s">
        <v>1094</v>
      </c>
      <c r="M135" s="67" t="s">
        <v>1095</v>
      </c>
      <c r="N135" s="67" t="s">
        <v>1095</v>
      </c>
      <c r="O135" s="67" t="s">
        <v>165</v>
      </c>
      <c r="P135" s="67" t="s">
        <v>1096</v>
      </c>
    </row>
    <row r="136" s="43" customFormat="1" customHeight="1" spans="1:16">
      <c r="A136" s="67" t="s">
        <v>1097</v>
      </c>
      <c r="B136" s="67">
        <v>52.7</v>
      </c>
      <c r="C136" s="67">
        <v>3</v>
      </c>
      <c r="D136" s="67" t="s">
        <v>1098</v>
      </c>
      <c r="E136" s="67" t="s">
        <v>1099</v>
      </c>
      <c r="F136" s="67" t="s">
        <v>78</v>
      </c>
      <c r="G136" s="67" t="s">
        <v>1100</v>
      </c>
      <c r="H136" s="67" t="s">
        <v>1101</v>
      </c>
      <c r="I136" s="67" t="s">
        <v>161</v>
      </c>
      <c r="J136" s="67" t="s">
        <v>161</v>
      </c>
      <c r="K136" s="67" t="s">
        <v>161</v>
      </c>
      <c r="L136" s="67" t="s">
        <v>1102</v>
      </c>
      <c r="M136" s="67" t="s">
        <v>1103</v>
      </c>
      <c r="N136" s="67" t="s">
        <v>1103</v>
      </c>
      <c r="O136" s="67" t="s">
        <v>165</v>
      </c>
      <c r="P136" s="67" t="s">
        <v>1096</v>
      </c>
    </row>
    <row r="137" s="43" customFormat="1" customHeight="1" spans="1:16">
      <c r="A137" s="67" t="s">
        <v>1104</v>
      </c>
      <c r="B137" s="67">
        <v>25.7</v>
      </c>
      <c r="C137" s="67">
        <v>2</v>
      </c>
      <c r="D137" s="67" t="s">
        <v>232</v>
      </c>
      <c r="E137" s="67" t="s">
        <v>233</v>
      </c>
      <c r="F137" s="67" t="s">
        <v>12</v>
      </c>
      <c r="G137" s="67" t="s">
        <v>1105</v>
      </c>
      <c r="H137" s="67" t="s">
        <v>1106</v>
      </c>
      <c r="I137" s="67" t="s">
        <v>161</v>
      </c>
      <c r="J137" s="67" t="s">
        <v>161</v>
      </c>
      <c r="K137" s="67" t="s">
        <v>161</v>
      </c>
      <c r="L137" s="67" t="s">
        <v>1107</v>
      </c>
      <c r="M137" s="67" t="s">
        <v>1108</v>
      </c>
      <c r="N137" s="67" t="s">
        <v>1108</v>
      </c>
      <c r="O137" s="67" t="s">
        <v>165</v>
      </c>
      <c r="P137" s="67" t="s">
        <v>1109</v>
      </c>
    </row>
    <row r="138" s="43" customFormat="1" customHeight="1" spans="1:16">
      <c r="A138" s="67" t="s">
        <v>1110</v>
      </c>
      <c r="B138" s="67">
        <v>9.89</v>
      </c>
      <c r="C138" s="67">
        <v>2</v>
      </c>
      <c r="D138" s="67" t="s">
        <v>1111</v>
      </c>
      <c r="E138" s="67" t="s">
        <v>1112</v>
      </c>
      <c r="F138" s="67" t="s">
        <v>12</v>
      </c>
      <c r="G138" s="67" t="s">
        <v>1113</v>
      </c>
      <c r="H138" s="67" t="s">
        <v>1114</v>
      </c>
      <c r="I138" s="67" t="s">
        <v>161</v>
      </c>
      <c r="J138" s="67" t="s">
        <v>161</v>
      </c>
      <c r="K138" s="67" t="s">
        <v>161</v>
      </c>
      <c r="L138" s="67" t="s">
        <v>1115</v>
      </c>
      <c r="M138" s="67" t="s">
        <v>1116</v>
      </c>
      <c r="N138" s="67" t="s">
        <v>1116</v>
      </c>
      <c r="O138" s="67" t="s">
        <v>165</v>
      </c>
      <c r="P138" s="67" t="s">
        <v>1117</v>
      </c>
    </row>
    <row r="139" s="43" customFormat="1" customHeight="1" spans="1:16">
      <c r="A139" s="67" t="s">
        <v>1118</v>
      </c>
      <c r="B139" s="67">
        <v>42.65</v>
      </c>
      <c r="C139" s="67">
        <v>5</v>
      </c>
      <c r="D139" s="67" t="s">
        <v>1119</v>
      </c>
      <c r="E139" s="67" t="s">
        <v>1120</v>
      </c>
      <c r="F139" s="67" t="s">
        <v>12</v>
      </c>
      <c r="G139" s="67" t="s">
        <v>1121</v>
      </c>
      <c r="H139" s="67" t="s">
        <v>1122</v>
      </c>
      <c r="I139" s="67" t="s">
        <v>161</v>
      </c>
      <c r="J139" s="67" t="s">
        <v>161</v>
      </c>
      <c r="K139" s="67" t="s">
        <v>161</v>
      </c>
      <c r="L139" s="67" t="s">
        <v>1123</v>
      </c>
      <c r="M139" s="67" t="s">
        <v>1124</v>
      </c>
      <c r="N139" s="67" t="s">
        <v>1124</v>
      </c>
      <c r="O139" s="67" t="s">
        <v>165</v>
      </c>
      <c r="P139" s="67" t="s">
        <v>1125</v>
      </c>
    </row>
    <row r="140" s="43" customFormat="1" customHeight="1" spans="1:16">
      <c r="A140" s="67" t="s">
        <v>1126</v>
      </c>
      <c r="B140" s="67">
        <v>16.84</v>
      </c>
      <c r="C140" s="67">
        <v>3</v>
      </c>
      <c r="D140" s="67" t="s">
        <v>1127</v>
      </c>
      <c r="E140" s="67" t="s">
        <v>1128</v>
      </c>
      <c r="F140" s="67" t="s">
        <v>12</v>
      </c>
      <c r="G140" s="67" t="s">
        <v>1129</v>
      </c>
      <c r="H140" s="67" t="s">
        <v>1130</v>
      </c>
      <c r="I140" s="67" t="s">
        <v>161</v>
      </c>
      <c r="J140" s="67" t="s">
        <v>161</v>
      </c>
      <c r="K140" s="67" t="s">
        <v>161</v>
      </c>
      <c r="L140" s="67" t="s">
        <v>1131</v>
      </c>
      <c r="M140" s="67" t="s">
        <v>1132</v>
      </c>
      <c r="N140" s="67" t="s">
        <v>1132</v>
      </c>
      <c r="O140" s="67" t="s">
        <v>165</v>
      </c>
      <c r="P140" s="67" t="s">
        <v>1133</v>
      </c>
    </row>
    <row r="141" s="43" customFormat="1" customHeight="1" spans="1:16">
      <c r="A141" s="67" t="s">
        <v>1134</v>
      </c>
      <c r="B141" s="67">
        <v>19.74</v>
      </c>
      <c r="C141" s="67">
        <v>4</v>
      </c>
      <c r="D141" s="67" t="s">
        <v>1135</v>
      </c>
      <c r="E141" s="67" t="s">
        <v>1128</v>
      </c>
      <c r="F141" s="67" t="s">
        <v>12</v>
      </c>
      <c r="G141" s="67" t="s">
        <v>1136</v>
      </c>
      <c r="H141" s="67" t="s">
        <v>1137</v>
      </c>
      <c r="I141" s="67" t="s">
        <v>161</v>
      </c>
      <c r="J141" s="67" t="s">
        <v>161</v>
      </c>
      <c r="K141" s="67" t="s">
        <v>161</v>
      </c>
      <c r="L141" s="67" t="s">
        <v>1138</v>
      </c>
      <c r="M141" s="67" t="s">
        <v>1139</v>
      </c>
      <c r="N141" s="67" t="s">
        <v>1139</v>
      </c>
      <c r="O141" s="67" t="s">
        <v>165</v>
      </c>
      <c r="P141" s="67" t="s">
        <v>1140</v>
      </c>
    </row>
    <row r="142" s="43" customFormat="1" customHeight="1" spans="1:16">
      <c r="A142" s="67" t="s">
        <v>1141</v>
      </c>
      <c r="B142" s="67">
        <v>16.26</v>
      </c>
      <c r="C142" s="67">
        <v>2</v>
      </c>
      <c r="D142" s="67" t="s">
        <v>1142</v>
      </c>
      <c r="E142" s="67" t="s">
        <v>1143</v>
      </c>
      <c r="F142" s="67" t="s">
        <v>98</v>
      </c>
      <c r="G142" s="67" t="s">
        <v>1144</v>
      </c>
      <c r="H142" s="67" t="s">
        <v>1145</v>
      </c>
      <c r="I142" s="67" t="s">
        <v>161</v>
      </c>
      <c r="J142" s="67" t="s">
        <v>161</v>
      </c>
      <c r="K142" s="67" t="s">
        <v>161</v>
      </c>
      <c r="L142" s="67" t="s">
        <v>1146</v>
      </c>
      <c r="M142" s="67" t="s">
        <v>1147</v>
      </c>
      <c r="N142" s="67" t="s">
        <v>1147</v>
      </c>
      <c r="O142" s="67" t="s">
        <v>165</v>
      </c>
      <c r="P142" s="67" t="s">
        <v>1148</v>
      </c>
    </row>
    <row r="143" s="43" customFormat="1" customHeight="1" spans="1:16">
      <c r="A143" s="67" t="s">
        <v>1149</v>
      </c>
      <c r="B143" s="67">
        <v>76.6</v>
      </c>
      <c r="C143" s="67">
        <v>4</v>
      </c>
      <c r="D143" s="67" t="s">
        <v>1150</v>
      </c>
      <c r="E143" s="67" t="s">
        <v>1151</v>
      </c>
      <c r="F143" s="67" t="s">
        <v>78</v>
      </c>
      <c r="G143" s="67" t="s">
        <v>1152</v>
      </c>
      <c r="H143" s="67" t="s">
        <v>1153</v>
      </c>
      <c r="I143" s="67" t="s">
        <v>161</v>
      </c>
      <c r="J143" s="67" t="s">
        <v>161</v>
      </c>
      <c r="K143" s="67" t="s">
        <v>161</v>
      </c>
      <c r="L143" s="67" t="s">
        <v>1154</v>
      </c>
      <c r="M143" s="67" t="s">
        <v>1155</v>
      </c>
      <c r="N143" s="67" t="s">
        <v>1155</v>
      </c>
      <c r="O143" s="67" t="s">
        <v>165</v>
      </c>
      <c r="P143" s="67" t="s">
        <v>1156</v>
      </c>
    </row>
    <row r="144" s="43" customFormat="1" customHeight="1" spans="1:16">
      <c r="A144" s="67" t="s">
        <v>1157</v>
      </c>
      <c r="B144" s="67">
        <v>77.4</v>
      </c>
      <c r="C144" s="67">
        <v>8</v>
      </c>
      <c r="D144" s="67" t="s">
        <v>1158</v>
      </c>
      <c r="E144" s="67" t="s">
        <v>1159</v>
      </c>
      <c r="F144" s="67" t="s">
        <v>12</v>
      </c>
      <c r="G144" s="67" t="s">
        <v>1160</v>
      </c>
      <c r="H144" s="67" t="s">
        <v>1161</v>
      </c>
      <c r="I144" s="67" t="s">
        <v>161</v>
      </c>
      <c r="J144" s="67" t="s">
        <v>161</v>
      </c>
      <c r="K144" s="67" t="s">
        <v>161</v>
      </c>
      <c r="L144" s="67" t="s">
        <v>1162</v>
      </c>
      <c r="M144" s="67" t="s">
        <v>1163</v>
      </c>
      <c r="N144" s="67" t="s">
        <v>1163</v>
      </c>
      <c r="O144" s="67" t="s">
        <v>165</v>
      </c>
      <c r="P144" s="67" t="s">
        <v>1164</v>
      </c>
    </row>
    <row r="145" s="43" customFormat="1" customHeight="1" spans="1:16">
      <c r="A145" s="67" t="s">
        <v>1165</v>
      </c>
      <c r="B145" s="67">
        <v>9.89</v>
      </c>
      <c r="C145" s="67">
        <v>2</v>
      </c>
      <c r="D145" s="67" t="s">
        <v>1111</v>
      </c>
      <c r="E145" s="67" t="s">
        <v>1112</v>
      </c>
      <c r="F145" s="67" t="s">
        <v>12</v>
      </c>
      <c r="G145" s="67" t="s">
        <v>1166</v>
      </c>
      <c r="H145" s="67" t="s">
        <v>1167</v>
      </c>
      <c r="I145" s="67" t="s">
        <v>161</v>
      </c>
      <c r="J145" s="67" t="s">
        <v>161</v>
      </c>
      <c r="K145" s="67" t="s">
        <v>161</v>
      </c>
      <c r="L145" s="67" t="s">
        <v>1168</v>
      </c>
      <c r="M145" s="67" t="s">
        <v>1169</v>
      </c>
      <c r="N145" s="67" t="s">
        <v>1169</v>
      </c>
      <c r="O145" s="67" t="s">
        <v>165</v>
      </c>
      <c r="P145" s="67" t="s">
        <v>1170</v>
      </c>
    </row>
    <row r="146" s="43" customFormat="1" customHeight="1" spans="1:16">
      <c r="A146" s="67" t="s">
        <v>1171</v>
      </c>
      <c r="B146" s="67">
        <v>24.93</v>
      </c>
      <c r="C146" s="67">
        <v>4</v>
      </c>
      <c r="D146" s="67" t="s">
        <v>1172</v>
      </c>
      <c r="E146" s="67" t="s">
        <v>1143</v>
      </c>
      <c r="F146" s="67" t="s">
        <v>98</v>
      </c>
      <c r="G146" s="67" t="s">
        <v>1173</v>
      </c>
      <c r="H146" s="67" t="s">
        <v>1174</v>
      </c>
      <c r="I146" s="67" t="s">
        <v>161</v>
      </c>
      <c r="J146" s="67" t="s">
        <v>161</v>
      </c>
      <c r="K146" s="67" t="s">
        <v>161</v>
      </c>
      <c r="L146" s="67" t="s">
        <v>1175</v>
      </c>
      <c r="M146" s="67" t="s">
        <v>1176</v>
      </c>
      <c r="N146" s="67" t="s">
        <v>1176</v>
      </c>
      <c r="O146" s="67" t="s">
        <v>165</v>
      </c>
      <c r="P146" s="67" t="s">
        <v>1177</v>
      </c>
    </row>
    <row r="147" s="43" customFormat="1" customHeight="1" spans="1:16">
      <c r="A147" s="67" t="s">
        <v>1178</v>
      </c>
      <c r="B147" s="67">
        <v>19.74</v>
      </c>
      <c r="C147" s="67">
        <v>4</v>
      </c>
      <c r="D147" s="67" t="s">
        <v>1135</v>
      </c>
      <c r="E147" s="67" t="s">
        <v>1128</v>
      </c>
      <c r="F147" s="67" t="s">
        <v>12</v>
      </c>
      <c r="G147" s="67" t="s">
        <v>1179</v>
      </c>
      <c r="H147" s="67" t="s">
        <v>1180</v>
      </c>
      <c r="I147" s="67" t="s">
        <v>161</v>
      </c>
      <c r="J147" s="67" t="s">
        <v>161</v>
      </c>
      <c r="K147" s="67" t="s">
        <v>161</v>
      </c>
      <c r="L147" s="67" t="s">
        <v>1181</v>
      </c>
      <c r="M147" s="67" t="s">
        <v>1182</v>
      </c>
      <c r="N147" s="67" t="s">
        <v>1182</v>
      </c>
      <c r="O147" s="67" t="s">
        <v>165</v>
      </c>
      <c r="P147" s="67" t="s">
        <v>1183</v>
      </c>
    </row>
    <row r="148" s="43" customFormat="1" customHeight="1" spans="1:16">
      <c r="A148" s="67" t="s">
        <v>1184</v>
      </c>
      <c r="B148" s="67">
        <v>17.69</v>
      </c>
      <c r="C148" s="67">
        <v>4</v>
      </c>
      <c r="D148" s="67" t="s">
        <v>1185</v>
      </c>
      <c r="E148" s="67" t="s">
        <v>1112</v>
      </c>
      <c r="F148" s="67" t="s">
        <v>12</v>
      </c>
      <c r="G148" s="67" t="s">
        <v>1186</v>
      </c>
      <c r="H148" s="67" t="s">
        <v>1187</v>
      </c>
      <c r="I148" s="67" t="s">
        <v>161</v>
      </c>
      <c r="J148" s="67" t="s">
        <v>161</v>
      </c>
      <c r="K148" s="67" t="s">
        <v>161</v>
      </c>
      <c r="L148" s="67" t="s">
        <v>1188</v>
      </c>
      <c r="M148" s="67" t="s">
        <v>1189</v>
      </c>
      <c r="N148" s="67" t="s">
        <v>1189</v>
      </c>
      <c r="O148" s="67" t="s">
        <v>165</v>
      </c>
      <c r="P148" s="67" t="s">
        <v>1190</v>
      </c>
    </row>
    <row r="149" s="43" customFormat="1" customHeight="1" spans="1:16">
      <c r="A149" s="67" t="s">
        <v>1191</v>
      </c>
      <c r="B149" s="67">
        <v>17.69</v>
      </c>
      <c r="C149" s="67">
        <v>4</v>
      </c>
      <c r="D149" s="67" t="s">
        <v>1185</v>
      </c>
      <c r="E149" s="67" t="s">
        <v>1112</v>
      </c>
      <c r="F149" s="67" t="s">
        <v>12</v>
      </c>
      <c r="G149" s="67" t="s">
        <v>1192</v>
      </c>
      <c r="H149" s="67" t="s">
        <v>1193</v>
      </c>
      <c r="I149" s="67" t="s">
        <v>161</v>
      </c>
      <c r="J149" s="67" t="s">
        <v>161</v>
      </c>
      <c r="K149" s="67" t="s">
        <v>161</v>
      </c>
      <c r="L149" s="67" t="s">
        <v>1194</v>
      </c>
      <c r="M149" s="67" t="s">
        <v>1195</v>
      </c>
      <c r="N149" s="67" t="s">
        <v>1195</v>
      </c>
      <c r="O149" s="67" t="s">
        <v>165</v>
      </c>
      <c r="P149" s="67" t="s">
        <v>1196</v>
      </c>
    </row>
    <row r="150" s="43" customFormat="1" customHeight="1" spans="1:16">
      <c r="A150" s="67" t="s">
        <v>1197</v>
      </c>
      <c r="B150" s="67">
        <v>52.7</v>
      </c>
      <c r="C150" s="67">
        <v>4</v>
      </c>
      <c r="D150" s="67" t="s">
        <v>1198</v>
      </c>
      <c r="E150" s="67" t="s">
        <v>1199</v>
      </c>
      <c r="F150" s="67" t="s">
        <v>12</v>
      </c>
      <c r="G150" s="67" t="s">
        <v>1200</v>
      </c>
      <c r="H150" s="67" t="s">
        <v>1201</v>
      </c>
      <c r="I150" s="67" t="s">
        <v>161</v>
      </c>
      <c r="J150" s="67" t="s">
        <v>161</v>
      </c>
      <c r="K150" s="67" t="s">
        <v>161</v>
      </c>
      <c r="L150" s="67" t="s">
        <v>1202</v>
      </c>
      <c r="M150" s="67" t="s">
        <v>1203</v>
      </c>
      <c r="N150" s="67" t="s">
        <v>1203</v>
      </c>
      <c r="O150" s="67" t="s">
        <v>165</v>
      </c>
      <c r="P150" s="67" t="s">
        <v>1204</v>
      </c>
    </row>
    <row r="151" s="43" customFormat="1" customHeight="1" spans="1:16">
      <c r="A151" s="67" t="s">
        <v>1205</v>
      </c>
      <c r="B151" s="67">
        <v>31.79</v>
      </c>
      <c r="C151" s="67">
        <v>3</v>
      </c>
      <c r="D151" s="67" t="s">
        <v>1206</v>
      </c>
      <c r="E151" s="67" t="s">
        <v>1207</v>
      </c>
      <c r="F151" s="67" t="s">
        <v>12</v>
      </c>
      <c r="G151" s="67" t="s">
        <v>1208</v>
      </c>
      <c r="H151" s="67" t="s">
        <v>1209</v>
      </c>
      <c r="I151" s="67" t="s">
        <v>161</v>
      </c>
      <c r="J151" s="67" t="s">
        <v>161</v>
      </c>
      <c r="K151" s="67" t="s">
        <v>161</v>
      </c>
      <c r="L151" s="67" t="s">
        <v>1210</v>
      </c>
      <c r="M151" s="67" t="s">
        <v>1211</v>
      </c>
      <c r="N151" s="67" t="s">
        <v>1211</v>
      </c>
      <c r="O151" s="67" t="s">
        <v>165</v>
      </c>
      <c r="P151" s="67" t="s">
        <v>1212</v>
      </c>
    </row>
    <row r="152" s="43" customFormat="1" customHeight="1" spans="1:16">
      <c r="A152" s="67" t="s">
        <v>1213</v>
      </c>
      <c r="B152" s="67">
        <v>9.89</v>
      </c>
      <c r="C152" s="67">
        <v>1</v>
      </c>
      <c r="D152" s="67" t="s">
        <v>1214</v>
      </c>
      <c r="E152" s="67" t="s">
        <v>1143</v>
      </c>
      <c r="F152" s="67" t="s">
        <v>12</v>
      </c>
      <c r="G152" s="67" t="s">
        <v>1215</v>
      </c>
      <c r="H152" s="67" t="s">
        <v>1216</v>
      </c>
      <c r="I152" s="67" t="s">
        <v>161</v>
      </c>
      <c r="J152" s="67" t="s">
        <v>161</v>
      </c>
      <c r="K152" s="67" t="s">
        <v>161</v>
      </c>
      <c r="L152" s="67" t="s">
        <v>1217</v>
      </c>
      <c r="M152" s="67" t="s">
        <v>1218</v>
      </c>
      <c r="N152" s="67" t="s">
        <v>1218</v>
      </c>
      <c r="O152" s="67" t="s">
        <v>165</v>
      </c>
      <c r="P152" s="67" t="s">
        <v>1219</v>
      </c>
    </row>
    <row r="153" s="43" customFormat="1" customHeight="1" spans="1:16">
      <c r="A153" s="67" t="s">
        <v>1220</v>
      </c>
      <c r="B153" s="67">
        <v>39.6</v>
      </c>
      <c r="C153" s="67">
        <v>5</v>
      </c>
      <c r="D153" s="67" t="s">
        <v>1221</v>
      </c>
      <c r="E153" s="67" t="s">
        <v>1222</v>
      </c>
      <c r="F153" s="67" t="s">
        <v>12</v>
      </c>
      <c r="G153" s="67" t="s">
        <v>1223</v>
      </c>
      <c r="H153" s="67" t="s">
        <v>1224</v>
      </c>
      <c r="I153" s="67" t="s">
        <v>161</v>
      </c>
      <c r="J153" s="67" t="s">
        <v>161</v>
      </c>
      <c r="K153" s="67" t="s">
        <v>161</v>
      </c>
      <c r="L153" s="67" t="s">
        <v>1225</v>
      </c>
      <c r="M153" s="67" t="s">
        <v>1226</v>
      </c>
      <c r="N153" s="67" t="s">
        <v>1226</v>
      </c>
      <c r="O153" s="67" t="s">
        <v>165</v>
      </c>
      <c r="P153" s="67" t="s">
        <v>1227</v>
      </c>
    </row>
    <row r="154" s="43" customFormat="1" customHeight="1" spans="1:16">
      <c r="A154" s="67" t="s">
        <v>1228</v>
      </c>
      <c r="B154" s="67">
        <v>17.69</v>
      </c>
      <c r="C154" s="67">
        <v>4</v>
      </c>
      <c r="D154" s="67" t="s">
        <v>1185</v>
      </c>
      <c r="E154" s="67" t="s">
        <v>1112</v>
      </c>
      <c r="F154" s="67" t="s">
        <v>12</v>
      </c>
      <c r="G154" s="67" t="s">
        <v>1229</v>
      </c>
      <c r="H154" s="67" t="s">
        <v>1230</v>
      </c>
      <c r="I154" s="67" t="s">
        <v>161</v>
      </c>
      <c r="J154" s="67" t="s">
        <v>161</v>
      </c>
      <c r="K154" s="67" t="s">
        <v>161</v>
      </c>
      <c r="L154" s="67" t="s">
        <v>1231</v>
      </c>
      <c r="M154" s="67" t="s">
        <v>1232</v>
      </c>
      <c r="N154" s="67" t="s">
        <v>1232</v>
      </c>
      <c r="O154" s="67" t="s">
        <v>165</v>
      </c>
      <c r="P154" s="67" t="s">
        <v>1233</v>
      </c>
    </row>
    <row r="155" s="43" customFormat="1" customHeight="1" spans="1:16">
      <c r="A155" s="67" t="s">
        <v>1234</v>
      </c>
      <c r="B155" s="67">
        <v>87.4</v>
      </c>
      <c r="C155" s="67">
        <v>8</v>
      </c>
      <c r="D155" s="67" t="s">
        <v>1235</v>
      </c>
      <c r="E155" s="67" t="s">
        <v>1236</v>
      </c>
      <c r="F155" s="67" t="s">
        <v>12</v>
      </c>
      <c r="G155" s="67" t="s">
        <v>1237</v>
      </c>
      <c r="H155" s="67" t="s">
        <v>1238</v>
      </c>
      <c r="I155" s="67" t="s">
        <v>161</v>
      </c>
      <c r="J155" s="67" t="s">
        <v>161</v>
      </c>
      <c r="K155" s="67" t="s">
        <v>161</v>
      </c>
      <c r="L155" s="67" t="s">
        <v>1239</v>
      </c>
      <c r="M155" s="67" t="s">
        <v>1240</v>
      </c>
      <c r="N155" s="67" t="s">
        <v>1240</v>
      </c>
      <c r="O155" s="67" t="s">
        <v>165</v>
      </c>
      <c r="P155" s="67" t="s">
        <v>1241</v>
      </c>
    </row>
    <row r="156" s="43" customFormat="1" customHeight="1" spans="1:16">
      <c r="A156" s="67" t="s">
        <v>1242</v>
      </c>
      <c r="B156" s="67">
        <v>37.75</v>
      </c>
      <c r="C156" s="67">
        <v>4</v>
      </c>
      <c r="D156" s="67" t="s">
        <v>502</v>
      </c>
      <c r="E156" s="67" t="s">
        <v>1243</v>
      </c>
      <c r="F156" s="67" t="s">
        <v>12</v>
      </c>
      <c r="G156" s="67" t="s">
        <v>1244</v>
      </c>
      <c r="H156" s="67" t="s">
        <v>1245</v>
      </c>
      <c r="I156" s="67" t="s">
        <v>161</v>
      </c>
      <c r="J156" s="67" t="s">
        <v>161</v>
      </c>
      <c r="K156" s="67" t="s">
        <v>161</v>
      </c>
      <c r="L156" s="67" t="s">
        <v>1246</v>
      </c>
      <c r="M156" s="67" t="s">
        <v>1247</v>
      </c>
      <c r="N156" s="67" t="s">
        <v>1247</v>
      </c>
      <c r="O156" s="67" t="s">
        <v>165</v>
      </c>
      <c r="P156" s="67" t="s">
        <v>1248</v>
      </c>
    </row>
    <row r="157" s="43" customFormat="1" customHeight="1" spans="1:16">
      <c r="A157" s="67" t="s">
        <v>1249</v>
      </c>
      <c r="B157" s="67">
        <v>14.79</v>
      </c>
      <c r="C157" s="67">
        <v>3</v>
      </c>
      <c r="D157" s="67" t="s">
        <v>1250</v>
      </c>
      <c r="E157" s="67" t="s">
        <v>1112</v>
      </c>
      <c r="F157" s="67" t="s">
        <v>12</v>
      </c>
      <c r="G157" s="67" t="s">
        <v>1251</v>
      </c>
      <c r="H157" s="67" t="s">
        <v>1252</v>
      </c>
      <c r="I157" s="67" t="s">
        <v>161</v>
      </c>
      <c r="J157" s="67" t="s">
        <v>161</v>
      </c>
      <c r="K157" s="67" t="s">
        <v>161</v>
      </c>
      <c r="L157" s="67" t="s">
        <v>1253</v>
      </c>
      <c r="M157" s="67" t="s">
        <v>1254</v>
      </c>
      <c r="N157" s="67" t="s">
        <v>1254</v>
      </c>
      <c r="O157" s="67" t="s">
        <v>165</v>
      </c>
      <c r="P157" s="67" t="s">
        <v>1255</v>
      </c>
    </row>
    <row r="158" s="43" customFormat="1" customHeight="1" spans="1:16">
      <c r="A158" s="67" t="s">
        <v>1256</v>
      </c>
      <c r="B158" s="67">
        <v>27.49</v>
      </c>
      <c r="C158" s="67">
        <v>6</v>
      </c>
      <c r="D158" s="67" t="s">
        <v>1257</v>
      </c>
      <c r="E158" s="67" t="s">
        <v>1112</v>
      </c>
      <c r="F158" s="67" t="s">
        <v>12</v>
      </c>
      <c r="G158" s="67" t="s">
        <v>1258</v>
      </c>
      <c r="H158" s="67" t="s">
        <v>1259</v>
      </c>
      <c r="I158" s="67" t="s">
        <v>161</v>
      </c>
      <c r="J158" s="67" t="s">
        <v>161</v>
      </c>
      <c r="K158" s="67" t="s">
        <v>161</v>
      </c>
      <c r="L158" s="67" t="s">
        <v>1260</v>
      </c>
      <c r="M158" s="67" t="s">
        <v>1261</v>
      </c>
      <c r="N158" s="67" t="s">
        <v>1261</v>
      </c>
      <c r="O158" s="67" t="s">
        <v>165</v>
      </c>
      <c r="P158" s="67" t="s">
        <v>1262</v>
      </c>
    </row>
    <row r="159" s="43" customFormat="1" customHeight="1" spans="1:16">
      <c r="A159" s="67" t="s">
        <v>1263</v>
      </c>
      <c r="B159" s="67">
        <v>9.89</v>
      </c>
      <c r="C159" s="67">
        <v>2</v>
      </c>
      <c r="D159" s="67" t="s">
        <v>1111</v>
      </c>
      <c r="E159" s="67" t="s">
        <v>1112</v>
      </c>
      <c r="F159" s="67" t="s">
        <v>78</v>
      </c>
      <c r="G159" s="67" t="s">
        <v>1264</v>
      </c>
      <c r="H159" s="67" t="s">
        <v>1265</v>
      </c>
      <c r="I159" s="67" t="s">
        <v>161</v>
      </c>
      <c r="J159" s="67" t="s">
        <v>161</v>
      </c>
      <c r="K159" s="67" t="s">
        <v>161</v>
      </c>
      <c r="L159" s="67" t="s">
        <v>1266</v>
      </c>
      <c r="M159" s="67" t="s">
        <v>1267</v>
      </c>
      <c r="N159" s="67" t="s">
        <v>1267</v>
      </c>
      <c r="O159" s="67" t="s">
        <v>165</v>
      </c>
      <c r="P159" s="67" t="s">
        <v>1262</v>
      </c>
    </row>
    <row r="160" s="43" customFormat="1" customHeight="1" spans="1:16">
      <c r="A160" s="67" t="s">
        <v>1268</v>
      </c>
      <c r="B160" s="67">
        <v>18.74</v>
      </c>
      <c r="C160" s="67">
        <v>4</v>
      </c>
      <c r="D160" s="67" t="s">
        <v>1269</v>
      </c>
      <c r="E160" s="67" t="s">
        <v>1270</v>
      </c>
      <c r="F160" s="67" t="s">
        <v>12</v>
      </c>
      <c r="G160" s="67" t="s">
        <v>1271</v>
      </c>
      <c r="H160" s="67" t="s">
        <v>1272</v>
      </c>
      <c r="I160" s="67" t="s">
        <v>161</v>
      </c>
      <c r="J160" s="67" t="s">
        <v>161</v>
      </c>
      <c r="K160" s="67" t="s">
        <v>161</v>
      </c>
      <c r="L160" s="67" t="s">
        <v>1273</v>
      </c>
      <c r="M160" s="67" t="s">
        <v>1274</v>
      </c>
      <c r="N160" s="67" t="s">
        <v>1274</v>
      </c>
      <c r="O160" s="67" t="s">
        <v>165</v>
      </c>
      <c r="P160" s="67" t="s">
        <v>1275</v>
      </c>
    </row>
    <row r="161" s="43" customFormat="1" customHeight="1" spans="1:16">
      <c r="A161" s="67" t="s">
        <v>1276</v>
      </c>
      <c r="B161" s="67">
        <v>9.89</v>
      </c>
      <c r="C161" s="67">
        <v>2</v>
      </c>
      <c r="D161" s="67" t="s">
        <v>1111</v>
      </c>
      <c r="E161" s="67" t="s">
        <v>1112</v>
      </c>
      <c r="F161" s="67" t="s">
        <v>12</v>
      </c>
      <c r="G161" s="67" t="s">
        <v>1277</v>
      </c>
      <c r="H161" s="67" t="s">
        <v>1278</v>
      </c>
      <c r="I161" s="67" t="s">
        <v>161</v>
      </c>
      <c r="J161" s="67" t="s">
        <v>161</v>
      </c>
      <c r="K161" s="67" t="s">
        <v>161</v>
      </c>
      <c r="L161" s="67" t="s">
        <v>1279</v>
      </c>
      <c r="M161" s="67" t="s">
        <v>1280</v>
      </c>
      <c r="N161" s="67" t="s">
        <v>1280</v>
      </c>
      <c r="O161" s="67" t="s">
        <v>165</v>
      </c>
      <c r="P161" s="67" t="s">
        <v>1281</v>
      </c>
    </row>
    <row r="162" s="43" customFormat="1" customHeight="1" spans="1:16">
      <c r="A162" s="67" t="s">
        <v>1282</v>
      </c>
      <c r="B162" s="67">
        <v>39.6</v>
      </c>
      <c r="C162" s="67">
        <v>5</v>
      </c>
      <c r="D162" s="67" t="s">
        <v>1221</v>
      </c>
      <c r="E162" s="67" t="s">
        <v>1222</v>
      </c>
      <c r="F162" s="67" t="s">
        <v>12</v>
      </c>
      <c r="G162" s="67" t="s">
        <v>1283</v>
      </c>
      <c r="H162" s="67" t="s">
        <v>1284</v>
      </c>
      <c r="I162" s="67" t="s">
        <v>161</v>
      </c>
      <c r="J162" s="67" t="s">
        <v>161</v>
      </c>
      <c r="K162" s="67" t="s">
        <v>161</v>
      </c>
      <c r="L162" s="67" t="s">
        <v>1285</v>
      </c>
      <c r="M162" s="67" t="s">
        <v>1286</v>
      </c>
      <c r="N162" s="67" t="s">
        <v>1286</v>
      </c>
      <c r="O162" s="67" t="s">
        <v>165</v>
      </c>
      <c r="P162" s="67" t="s">
        <v>1287</v>
      </c>
    </row>
    <row r="163" s="43" customFormat="1" customHeight="1" spans="1:16">
      <c r="A163" s="67" t="s">
        <v>1288</v>
      </c>
      <c r="B163" s="67">
        <v>16.84</v>
      </c>
      <c r="C163" s="67">
        <v>3</v>
      </c>
      <c r="D163" s="67" t="s">
        <v>1060</v>
      </c>
      <c r="E163" s="67" t="s">
        <v>1061</v>
      </c>
      <c r="F163" s="67" t="s">
        <v>12</v>
      </c>
      <c r="G163" s="67" t="s">
        <v>1289</v>
      </c>
      <c r="H163" s="67" t="s">
        <v>1290</v>
      </c>
      <c r="I163" s="67" t="s">
        <v>161</v>
      </c>
      <c r="J163" s="67" t="s">
        <v>161</v>
      </c>
      <c r="K163" s="67" t="s">
        <v>161</v>
      </c>
      <c r="L163" s="67" t="s">
        <v>1291</v>
      </c>
      <c r="M163" s="67" t="s">
        <v>1292</v>
      </c>
      <c r="N163" s="67" t="s">
        <v>1292</v>
      </c>
      <c r="O163" s="67" t="s">
        <v>165</v>
      </c>
      <c r="P163" s="67" t="s">
        <v>1293</v>
      </c>
    </row>
    <row r="164" s="43" customFormat="1" customHeight="1" spans="1:16">
      <c r="A164" s="67" t="s">
        <v>1294</v>
      </c>
      <c r="B164" s="67">
        <v>9.89</v>
      </c>
      <c r="C164" s="67">
        <v>2</v>
      </c>
      <c r="D164" s="67" t="s">
        <v>1111</v>
      </c>
      <c r="E164" s="67" t="s">
        <v>1112</v>
      </c>
      <c r="F164" s="67" t="s">
        <v>12</v>
      </c>
      <c r="G164" s="67" t="s">
        <v>1295</v>
      </c>
      <c r="H164" s="67" t="s">
        <v>1296</v>
      </c>
      <c r="I164" s="67" t="s">
        <v>161</v>
      </c>
      <c r="J164" s="67" t="s">
        <v>161</v>
      </c>
      <c r="K164" s="67" t="s">
        <v>161</v>
      </c>
      <c r="L164" s="67" t="s">
        <v>1297</v>
      </c>
      <c r="M164" s="67" t="s">
        <v>1298</v>
      </c>
      <c r="N164" s="67" t="s">
        <v>1298</v>
      </c>
      <c r="O164" s="67" t="s">
        <v>165</v>
      </c>
      <c r="P164" s="67" t="s">
        <v>1299</v>
      </c>
    </row>
    <row r="165" s="43" customFormat="1" customHeight="1" spans="1:16">
      <c r="A165" s="67" t="s">
        <v>1300</v>
      </c>
      <c r="B165" s="67">
        <v>79.4</v>
      </c>
      <c r="C165" s="67">
        <v>8</v>
      </c>
      <c r="D165" s="67" t="s">
        <v>1301</v>
      </c>
      <c r="E165" s="67" t="s">
        <v>1302</v>
      </c>
      <c r="F165" s="67" t="s">
        <v>12</v>
      </c>
      <c r="G165" s="67" t="s">
        <v>1303</v>
      </c>
      <c r="H165" s="67" t="s">
        <v>1304</v>
      </c>
      <c r="I165" s="67" t="s">
        <v>161</v>
      </c>
      <c r="J165" s="67" t="s">
        <v>161</v>
      </c>
      <c r="K165" s="67" t="s">
        <v>161</v>
      </c>
      <c r="L165" s="67" t="s">
        <v>1305</v>
      </c>
      <c r="M165" s="67" t="s">
        <v>1306</v>
      </c>
      <c r="N165" s="67" t="s">
        <v>1306</v>
      </c>
      <c r="O165" s="67" t="s">
        <v>165</v>
      </c>
      <c r="P165" s="67" t="s">
        <v>1307</v>
      </c>
    </row>
    <row r="166" s="43" customFormat="1" customHeight="1" spans="1:16">
      <c r="A166" s="67" t="s">
        <v>1308</v>
      </c>
      <c r="B166" s="67">
        <v>52.7</v>
      </c>
      <c r="C166" s="67">
        <v>5</v>
      </c>
      <c r="D166" s="67" t="s">
        <v>1309</v>
      </c>
      <c r="E166" s="67" t="s">
        <v>1310</v>
      </c>
      <c r="F166" s="67" t="s">
        <v>12</v>
      </c>
      <c r="G166" s="67" t="s">
        <v>1311</v>
      </c>
      <c r="H166" s="67" t="s">
        <v>1312</v>
      </c>
      <c r="I166" s="67" t="s">
        <v>161</v>
      </c>
      <c r="J166" s="67" t="s">
        <v>161</v>
      </c>
      <c r="K166" s="67" t="s">
        <v>161</v>
      </c>
      <c r="L166" s="67" t="s">
        <v>1313</v>
      </c>
      <c r="M166" s="67" t="s">
        <v>1314</v>
      </c>
      <c r="N166" s="67" t="s">
        <v>1314</v>
      </c>
      <c r="O166" s="67" t="s">
        <v>165</v>
      </c>
      <c r="P166" s="67" t="s">
        <v>1315</v>
      </c>
    </row>
    <row r="167" s="43" customFormat="1" customHeight="1" spans="1:16">
      <c r="A167" s="67" t="s">
        <v>1316</v>
      </c>
      <c r="B167" s="67">
        <v>17.69</v>
      </c>
      <c r="C167" s="67">
        <v>4</v>
      </c>
      <c r="D167" s="67" t="s">
        <v>1185</v>
      </c>
      <c r="E167" s="67" t="s">
        <v>1112</v>
      </c>
      <c r="F167" s="67" t="s">
        <v>12</v>
      </c>
      <c r="G167" s="67" t="s">
        <v>773</v>
      </c>
      <c r="H167" s="67" t="s">
        <v>1317</v>
      </c>
      <c r="I167" s="67" t="s">
        <v>161</v>
      </c>
      <c r="J167" s="67" t="s">
        <v>161</v>
      </c>
      <c r="K167" s="67" t="s">
        <v>161</v>
      </c>
      <c r="L167" s="67" t="s">
        <v>775</v>
      </c>
      <c r="M167" s="67" t="s">
        <v>1318</v>
      </c>
      <c r="N167" s="67" t="s">
        <v>1318</v>
      </c>
      <c r="O167" s="67" t="s">
        <v>165</v>
      </c>
      <c r="P167" s="67" t="s">
        <v>1319</v>
      </c>
    </row>
    <row r="168" s="43" customFormat="1" customHeight="1" spans="1:16">
      <c r="A168" s="67" t="s">
        <v>1320</v>
      </c>
      <c r="B168" s="67">
        <v>21.59</v>
      </c>
      <c r="C168" s="67">
        <v>5</v>
      </c>
      <c r="D168" s="67" t="s">
        <v>1321</v>
      </c>
      <c r="E168" s="67" t="s">
        <v>1322</v>
      </c>
      <c r="F168" s="67" t="s">
        <v>12</v>
      </c>
      <c r="G168" s="67" t="s">
        <v>1323</v>
      </c>
      <c r="H168" s="67" t="s">
        <v>1324</v>
      </c>
      <c r="I168" s="67" t="s">
        <v>161</v>
      </c>
      <c r="J168" s="67" t="s">
        <v>161</v>
      </c>
      <c r="K168" s="67" t="s">
        <v>161</v>
      </c>
      <c r="L168" s="67" t="s">
        <v>1325</v>
      </c>
      <c r="M168" s="67" t="s">
        <v>1326</v>
      </c>
      <c r="N168" s="67" t="s">
        <v>1326</v>
      </c>
      <c r="O168" s="67" t="s">
        <v>165</v>
      </c>
      <c r="P168" s="67" t="s">
        <v>1327</v>
      </c>
    </row>
    <row r="169" s="43" customFormat="1" customHeight="1" spans="1:16">
      <c r="A169" s="67" t="s">
        <v>1328</v>
      </c>
      <c r="B169" s="67">
        <v>11.12</v>
      </c>
      <c r="C169" s="67">
        <v>2</v>
      </c>
      <c r="D169" s="67" t="s">
        <v>1111</v>
      </c>
      <c r="E169" s="67" t="s">
        <v>1112</v>
      </c>
      <c r="F169" s="67" t="s">
        <v>90</v>
      </c>
      <c r="G169" s="67" t="s">
        <v>1329</v>
      </c>
      <c r="H169" s="67" t="s">
        <v>1330</v>
      </c>
      <c r="I169" s="67" t="s">
        <v>161</v>
      </c>
      <c r="J169" s="67" t="s">
        <v>161</v>
      </c>
      <c r="K169" s="67" t="s">
        <v>161</v>
      </c>
      <c r="L169" s="67" t="s">
        <v>1331</v>
      </c>
      <c r="M169" s="67" t="s">
        <v>1332</v>
      </c>
      <c r="N169" s="67" t="s">
        <v>1332</v>
      </c>
      <c r="O169" s="67" t="s">
        <v>165</v>
      </c>
      <c r="P169" s="67" t="s">
        <v>1333</v>
      </c>
    </row>
    <row r="170" s="43" customFormat="1" customHeight="1" spans="1:16">
      <c r="A170" s="67" t="s">
        <v>1334</v>
      </c>
      <c r="B170" s="67">
        <v>44.5</v>
      </c>
      <c r="C170" s="67">
        <v>5</v>
      </c>
      <c r="D170" s="67" t="s">
        <v>1335</v>
      </c>
      <c r="E170" s="67" t="s">
        <v>1336</v>
      </c>
      <c r="F170" s="67" t="s">
        <v>90</v>
      </c>
      <c r="G170" s="67" t="s">
        <v>1337</v>
      </c>
      <c r="H170" s="67" t="s">
        <v>1338</v>
      </c>
      <c r="I170" s="67" t="s">
        <v>161</v>
      </c>
      <c r="J170" s="67" t="s">
        <v>161</v>
      </c>
      <c r="K170" s="67" t="s">
        <v>161</v>
      </c>
      <c r="L170" s="67" t="s">
        <v>1339</v>
      </c>
      <c r="M170" s="67" t="s">
        <v>1340</v>
      </c>
      <c r="N170" s="67" t="s">
        <v>1340</v>
      </c>
      <c r="O170" s="67" t="s">
        <v>165</v>
      </c>
      <c r="P170" s="67" t="s">
        <v>1341</v>
      </c>
    </row>
    <row r="171" s="43" customFormat="1" customHeight="1" spans="1:16">
      <c r="A171" s="67" t="s">
        <v>1342</v>
      </c>
      <c r="B171" s="67">
        <v>34.7</v>
      </c>
      <c r="C171" s="67">
        <v>4</v>
      </c>
      <c r="D171" s="67" t="s">
        <v>1343</v>
      </c>
      <c r="E171" s="67" t="s">
        <v>1344</v>
      </c>
      <c r="F171" s="67" t="s">
        <v>12</v>
      </c>
      <c r="G171" s="67" t="s">
        <v>1345</v>
      </c>
      <c r="H171" s="67" t="s">
        <v>1346</v>
      </c>
      <c r="I171" s="67" t="s">
        <v>161</v>
      </c>
      <c r="J171" s="67" t="s">
        <v>161</v>
      </c>
      <c r="K171" s="67" t="s">
        <v>161</v>
      </c>
      <c r="L171" s="67" t="s">
        <v>1347</v>
      </c>
      <c r="M171" s="67" t="s">
        <v>1348</v>
      </c>
      <c r="N171" s="67" t="s">
        <v>1348</v>
      </c>
      <c r="O171" s="67" t="s">
        <v>165</v>
      </c>
      <c r="P171" s="67" t="s">
        <v>1349</v>
      </c>
    </row>
    <row r="172" s="43" customFormat="1" customHeight="1" spans="1:16">
      <c r="A172" s="67" t="s">
        <v>1350</v>
      </c>
      <c r="B172" s="67">
        <v>34.7</v>
      </c>
      <c r="C172" s="67">
        <v>4</v>
      </c>
      <c r="D172" s="67" t="s">
        <v>1351</v>
      </c>
      <c r="E172" s="67" t="s">
        <v>1222</v>
      </c>
      <c r="F172" s="67" t="s">
        <v>12</v>
      </c>
      <c r="G172" s="67" t="s">
        <v>1352</v>
      </c>
      <c r="H172" s="67" t="s">
        <v>1353</v>
      </c>
      <c r="I172" s="67" t="s">
        <v>161</v>
      </c>
      <c r="J172" s="67" t="s">
        <v>161</v>
      </c>
      <c r="K172" s="67" t="s">
        <v>161</v>
      </c>
      <c r="L172" s="67" t="s">
        <v>1354</v>
      </c>
      <c r="M172" s="67" t="s">
        <v>1355</v>
      </c>
      <c r="N172" s="67" t="s">
        <v>1355</v>
      </c>
      <c r="O172" s="67" t="s">
        <v>165</v>
      </c>
      <c r="P172" s="67" t="s">
        <v>1356</v>
      </c>
    </row>
    <row r="173" s="43" customFormat="1" customHeight="1" spans="1:16">
      <c r="A173" s="67" t="s">
        <v>1357</v>
      </c>
      <c r="B173" s="67">
        <v>52.7</v>
      </c>
      <c r="C173" s="67">
        <v>5</v>
      </c>
      <c r="D173" s="67" t="s">
        <v>1358</v>
      </c>
      <c r="E173" s="67" t="s">
        <v>1359</v>
      </c>
      <c r="F173" s="67" t="s">
        <v>12</v>
      </c>
      <c r="G173" s="67" t="s">
        <v>1360</v>
      </c>
      <c r="H173" s="67" t="s">
        <v>1361</v>
      </c>
      <c r="I173" s="67" t="s">
        <v>161</v>
      </c>
      <c r="J173" s="67" t="s">
        <v>161</v>
      </c>
      <c r="K173" s="67" t="s">
        <v>161</v>
      </c>
      <c r="L173" s="67" t="s">
        <v>1362</v>
      </c>
      <c r="M173" s="67" t="s">
        <v>1363</v>
      </c>
      <c r="N173" s="67" t="s">
        <v>1363</v>
      </c>
      <c r="O173" s="67" t="s">
        <v>165</v>
      </c>
      <c r="P173" s="67" t="s">
        <v>1364</v>
      </c>
    </row>
    <row r="174" s="43" customFormat="1" customHeight="1" spans="1:16">
      <c r="A174" s="67" t="s">
        <v>1365</v>
      </c>
      <c r="B174" s="67">
        <v>35.75</v>
      </c>
      <c r="C174" s="67">
        <v>4</v>
      </c>
      <c r="D174" s="67" t="s">
        <v>1366</v>
      </c>
      <c r="E174" s="67" t="s">
        <v>1367</v>
      </c>
      <c r="F174" s="67" t="s">
        <v>12</v>
      </c>
      <c r="G174" s="67" t="s">
        <v>1368</v>
      </c>
      <c r="H174" s="67" t="s">
        <v>1369</v>
      </c>
      <c r="I174" s="67" t="s">
        <v>161</v>
      </c>
      <c r="J174" s="67" t="s">
        <v>161</v>
      </c>
      <c r="K174" s="67" t="s">
        <v>161</v>
      </c>
      <c r="L174" s="67" t="s">
        <v>1370</v>
      </c>
      <c r="M174" s="67" t="s">
        <v>1371</v>
      </c>
      <c r="N174" s="67" t="s">
        <v>1371</v>
      </c>
      <c r="O174" s="67" t="s">
        <v>165</v>
      </c>
      <c r="P174" s="67" t="s">
        <v>1372</v>
      </c>
    </row>
    <row r="175" s="43" customFormat="1" customHeight="1" spans="1:16">
      <c r="A175" s="67" t="s">
        <v>1373</v>
      </c>
      <c r="B175" s="67">
        <v>81.8</v>
      </c>
      <c r="C175" s="67">
        <v>10</v>
      </c>
      <c r="D175" s="67" t="s">
        <v>1374</v>
      </c>
      <c r="E175" s="67" t="s">
        <v>1375</v>
      </c>
      <c r="F175" s="67" t="s">
        <v>12</v>
      </c>
      <c r="G175" s="67" t="s">
        <v>1376</v>
      </c>
      <c r="H175" s="67" t="s">
        <v>1377</v>
      </c>
      <c r="I175" s="67" t="s">
        <v>161</v>
      </c>
      <c r="J175" s="67" t="s">
        <v>161</v>
      </c>
      <c r="K175" s="67" t="s">
        <v>161</v>
      </c>
      <c r="L175" s="67" t="s">
        <v>1378</v>
      </c>
      <c r="M175" s="67" t="s">
        <v>1379</v>
      </c>
      <c r="N175" s="67" t="s">
        <v>1379</v>
      </c>
      <c r="O175" s="67" t="s">
        <v>165</v>
      </c>
      <c r="P175" s="67" t="s">
        <v>1380</v>
      </c>
    </row>
    <row r="176" s="43" customFormat="1" customHeight="1" spans="1:16">
      <c r="A176" s="67" t="s">
        <v>1381</v>
      </c>
      <c r="B176" s="67">
        <v>42.65</v>
      </c>
      <c r="C176" s="67">
        <v>5</v>
      </c>
      <c r="D176" s="67" t="s">
        <v>1382</v>
      </c>
      <c r="E176" s="67" t="s">
        <v>1383</v>
      </c>
      <c r="F176" s="67" t="s">
        <v>12</v>
      </c>
      <c r="G176" s="67" t="s">
        <v>1384</v>
      </c>
      <c r="H176" s="67" t="s">
        <v>1385</v>
      </c>
      <c r="I176" s="67" t="s">
        <v>161</v>
      </c>
      <c r="J176" s="67" t="s">
        <v>161</v>
      </c>
      <c r="K176" s="67" t="s">
        <v>161</v>
      </c>
      <c r="L176" s="67" t="s">
        <v>1386</v>
      </c>
      <c r="M176" s="67" t="s">
        <v>1387</v>
      </c>
      <c r="N176" s="67" t="s">
        <v>1387</v>
      </c>
      <c r="O176" s="67" t="s">
        <v>165</v>
      </c>
      <c r="P176" s="67" t="s">
        <v>1388</v>
      </c>
    </row>
    <row r="177" s="43" customFormat="1" customHeight="1" spans="1:16">
      <c r="A177" s="67" t="s">
        <v>1389</v>
      </c>
      <c r="B177" s="67">
        <v>9.89</v>
      </c>
      <c r="C177" s="67">
        <v>2</v>
      </c>
      <c r="D177" s="67" t="s">
        <v>1111</v>
      </c>
      <c r="E177" s="67" t="s">
        <v>1112</v>
      </c>
      <c r="F177" s="67" t="s">
        <v>12</v>
      </c>
      <c r="G177" s="67" t="s">
        <v>1390</v>
      </c>
      <c r="H177" s="67" t="s">
        <v>1391</v>
      </c>
      <c r="I177" s="67" t="s">
        <v>161</v>
      </c>
      <c r="J177" s="67" t="s">
        <v>161</v>
      </c>
      <c r="K177" s="67" t="s">
        <v>161</v>
      </c>
      <c r="L177" s="67" t="s">
        <v>1392</v>
      </c>
      <c r="M177" s="67" t="s">
        <v>1393</v>
      </c>
      <c r="N177" s="67" t="s">
        <v>1393</v>
      </c>
      <c r="O177" s="67" t="s">
        <v>165</v>
      </c>
      <c r="P177" s="67" t="s">
        <v>1394</v>
      </c>
    </row>
    <row r="178" s="43" customFormat="1" customHeight="1" spans="1:16">
      <c r="A178" s="67" t="s">
        <v>1395</v>
      </c>
      <c r="B178" s="67">
        <v>10.84</v>
      </c>
      <c r="C178" s="67">
        <v>2</v>
      </c>
      <c r="D178" s="67" t="s">
        <v>1111</v>
      </c>
      <c r="E178" s="67" t="s">
        <v>1112</v>
      </c>
      <c r="F178" s="67" t="s">
        <v>98</v>
      </c>
      <c r="G178" s="67" t="s">
        <v>1396</v>
      </c>
      <c r="H178" s="67" t="s">
        <v>1397</v>
      </c>
      <c r="I178" s="67" t="s">
        <v>161</v>
      </c>
      <c r="J178" s="67" t="s">
        <v>161</v>
      </c>
      <c r="K178" s="67" t="s">
        <v>161</v>
      </c>
      <c r="L178" s="67" t="s">
        <v>1398</v>
      </c>
      <c r="M178" s="67" t="s">
        <v>1399</v>
      </c>
      <c r="N178" s="67" t="s">
        <v>1399</v>
      </c>
      <c r="O178" s="67" t="s">
        <v>165</v>
      </c>
      <c r="P178" s="67" t="s">
        <v>1400</v>
      </c>
    </row>
    <row r="179" s="43" customFormat="1" customHeight="1" spans="1:16">
      <c r="A179" s="67" t="s">
        <v>1401</v>
      </c>
      <c r="B179" s="67">
        <v>9.89</v>
      </c>
      <c r="C179" s="67">
        <v>2</v>
      </c>
      <c r="D179" s="67" t="s">
        <v>1111</v>
      </c>
      <c r="E179" s="67" t="s">
        <v>1112</v>
      </c>
      <c r="F179" s="67" t="s">
        <v>12</v>
      </c>
      <c r="G179" s="67" t="s">
        <v>1402</v>
      </c>
      <c r="H179" s="67" t="s">
        <v>1403</v>
      </c>
      <c r="I179" s="67" t="s">
        <v>161</v>
      </c>
      <c r="J179" s="67" t="s">
        <v>161</v>
      </c>
      <c r="K179" s="67" t="s">
        <v>161</v>
      </c>
      <c r="L179" s="67" t="s">
        <v>1404</v>
      </c>
      <c r="M179" s="67" t="s">
        <v>1405</v>
      </c>
      <c r="N179" s="67" t="s">
        <v>1405</v>
      </c>
      <c r="O179" s="67" t="s">
        <v>165</v>
      </c>
      <c r="P179" s="67" t="s">
        <v>1406</v>
      </c>
    </row>
    <row r="180" s="43" customFormat="1" customHeight="1" spans="1:16">
      <c r="A180" s="67" t="s">
        <v>1407</v>
      </c>
      <c r="B180" s="67">
        <v>9.89</v>
      </c>
      <c r="C180" s="67">
        <v>2</v>
      </c>
      <c r="D180" s="67" t="s">
        <v>1111</v>
      </c>
      <c r="E180" s="67" t="s">
        <v>1112</v>
      </c>
      <c r="F180" s="67" t="s">
        <v>12</v>
      </c>
      <c r="G180" s="67" t="s">
        <v>1408</v>
      </c>
      <c r="H180" s="67" t="s">
        <v>1409</v>
      </c>
      <c r="I180" s="67" t="s">
        <v>161</v>
      </c>
      <c r="J180" s="67" t="s">
        <v>161</v>
      </c>
      <c r="K180" s="67" t="s">
        <v>161</v>
      </c>
      <c r="L180" s="67" t="s">
        <v>1410</v>
      </c>
      <c r="M180" s="67" t="s">
        <v>1411</v>
      </c>
      <c r="N180" s="67" t="s">
        <v>1411</v>
      </c>
      <c r="O180" s="67" t="s">
        <v>165</v>
      </c>
      <c r="P180" s="67" t="s">
        <v>1412</v>
      </c>
    </row>
    <row r="181" s="43" customFormat="1" customHeight="1" spans="1:16">
      <c r="A181" s="67" t="s">
        <v>1413</v>
      </c>
      <c r="B181" s="67">
        <v>9.89</v>
      </c>
      <c r="C181" s="67">
        <v>1</v>
      </c>
      <c r="D181" s="67" t="s">
        <v>1214</v>
      </c>
      <c r="E181" s="67" t="s">
        <v>1143</v>
      </c>
      <c r="F181" s="67" t="s">
        <v>12</v>
      </c>
      <c r="G181" s="67" t="s">
        <v>1414</v>
      </c>
      <c r="H181" s="67" t="s">
        <v>1415</v>
      </c>
      <c r="I181" s="67" t="s">
        <v>161</v>
      </c>
      <c r="J181" s="67" t="s">
        <v>161</v>
      </c>
      <c r="K181" s="67" t="s">
        <v>1416</v>
      </c>
      <c r="L181" s="67" t="s">
        <v>1417</v>
      </c>
      <c r="M181" s="67" t="s">
        <v>1418</v>
      </c>
      <c r="N181" s="67" t="s">
        <v>1418</v>
      </c>
      <c r="O181" s="67" t="s">
        <v>165</v>
      </c>
      <c r="P181" s="67" t="s">
        <v>1419</v>
      </c>
    </row>
    <row r="182" s="43" customFormat="1" customHeight="1" spans="1:16">
      <c r="A182" s="67" t="s">
        <v>1420</v>
      </c>
      <c r="B182" s="67">
        <v>9.89</v>
      </c>
      <c r="C182" s="67">
        <v>2</v>
      </c>
      <c r="D182" s="67" t="s">
        <v>1111</v>
      </c>
      <c r="E182" s="67" t="s">
        <v>1112</v>
      </c>
      <c r="F182" s="67" t="s">
        <v>12</v>
      </c>
      <c r="G182" s="67" t="s">
        <v>1421</v>
      </c>
      <c r="H182" s="67" t="s">
        <v>1422</v>
      </c>
      <c r="I182" s="67" t="s">
        <v>161</v>
      </c>
      <c r="J182" s="67" t="s">
        <v>161</v>
      </c>
      <c r="K182" s="67" t="s">
        <v>161</v>
      </c>
      <c r="L182" s="67" t="s">
        <v>1423</v>
      </c>
      <c r="M182" s="67" t="s">
        <v>1424</v>
      </c>
      <c r="N182" s="67" t="s">
        <v>1424</v>
      </c>
      <c r="O182" s="67" t="s">
        <v>165</v>
      </c>
      <c r="P182" s="67" t="s">
        <v>1425</v>
      </c>
    </row>
    <row r="183" s="43" customFormat="1" customHeight="1" spans="1:16">
      <c r="A183" s="67" t="s">
        <v>1426</v>
      </c>
      <c r="B183" s="67">
        <v>40.6</v>
      </c>
      <c r="C183" s="67">
        <v>5</v>
      </c>
      <c r="D183" s="67" t="s">
        <v>1427</v>
      </c>
      <c r="E183" s="67" t="s">
        <v>1428</v>
      </c>
      <c r="F183" s="67" t="s">
        <v>12</v>
      </c>
      <c r="G183" s="67" t="s">
        <v>1429</v>
      </c>
      <c r="H183" s="67" t="s">
        <v>1430</v>
      </c>
      <c r="I183" s="67" t="s">
        <v>161</v>
      </c>
      <c r="J183" s="67" t="s">
        <v>161</v>
      </c>
      <c r="K183" s="67" t="s">
        <v>161</v>
      </c>
      <c r="L183" s="67" t="s">
        <v>1431</v>
      </c>
      <c r="M183" s="67" t="s">
        <v>1432</v>
      </c>
      <c r="N183" s="67" t="s">
        <v>1432</v>
      </c>
      <c r="O183" s="67" t="s">
        <v>165</v>
      </c>
      <c r="P183" s="67" t="s">
        <v>1433</v>
      </c>
    </row>
    <row r="184" s="43" customFormat="1" customHeight="1" spans="1:16">
      <c r="A184" s="67" t="s">
        <v>1434</v>
      </c>
      <c r="B184" s="67">
        <v>9.89</v>
      </c>
      <c r="C184" s="67">
        <v>2</v>
      </c>
      <c r="D184" s="67" t="s">
        <v>1111</v>
      </c>
      <c r="E184" s="67" t="s">
        <v>1112</v>
      </c>
      <c r="F184" s="67" t="s">
        <v>12</v>
      </c>
      <c r="G184" s="67" t="s">
        <v>1435</v>
      </c>
      <c r="H184" s="67" t="s">
        <v>1436</v>
      </c>
      <c r="I184" s="67" t="s">
        <v>161</v>
      </c>
      <c r="J184" s="67" t="s">
        <v>161</v>
      </c>
      <c r="K184" s="67" t="s">
        <v>161</v>
      </c>
      <c r="L184" s="67" t="s">
        <v>1437</v>
      </c>
      <c r="M184" s="67" t="s">
        <v>1438</v>
      </c>
      <c r="N184" s="67" t="s">
        <v>1438</v>
      </c>
      <c r="O184" s="67" t="s">
        <v>165</v>
      </c>
      <c r="P184" s="67" t="s">
        <v>1439</v>
      </c>
    </row>
    <row r="185" s="43" customFormat="1" customHeight="1" spans="1:16">
      <c r="A185" s="67" t="s">
        <v>1440</v>
      </c>
      <c r="B185" s="67">
        <v>14.79</v>
      </c>
      <c r="C185" s="67">
        <v>3</v>
      </c>
      <c r="D185" s="67" t="s">
        <v>1250</v>
      </c>
      <c r="E185" s="67" t="s">
        <v>1112</v>
      </c>
      <c r="F185" s="67" t="s">
        <v>12</v>
      </c>
      <c r="G185" s="67" t="s">
        <v>1441</v>
      </c>
      <c r="H185" s="67" t="s">
        <v>1442</v>
      </c>
      <c r="I185" s="67" t="s">
        <v>161</v>
      </c>
      <c r="J185" s="67" t="s">
        <v>161</v>
      </c>
      <c r="K185" s="67" t="s">
        <v>161</v>
      </c>
      <c r="L185" s="67" t="s">
        <v>1443</v>
      </c>
      <c r="M185" s="67" t="s">
        <v>1444</v>
      </c>
      <c r="N185" s="67" t="s">
        <v>1444</v>
      </c>
      <c r="O185" s="67" t="s">
        <v>165</v>
      </c>
      <c r="P185" s="67" t="s">
        <v>1445</v>
      </c>
    </row>
    <row r="186" s="43" customFormat="1" customHeight="1" spans="1:16">
      <c r="A186" s="67" t="s">
        <v>1446</v>
      </c>
      <c r="B186" s="67">
        <v>32.79</v>
      </c>
      <c r="C186" s="67">
        <v>3</v>
      </c>
      <c r="D186" s="67" t="s">
        <v>1447</v>
      </c>
      <c r="E186" s="67" t="s">
        <v>1222</v>
      </c>
      <c r="F186" s="67" t="s">
        <v>12</v>
      </c>
      <c r="G186" s="67" t="s">
        <v>1448</v>
      </c>
      <c r="H186" s="67" t="s">
        <v>1449</v>
      </c>
      <c r="I186" s="67" t="s">
        <v>161</v>
      </c>
      <c r="J186" s="67" t="s">
        <v>161</v>
      </c>
      <c r="K186" s="67" t="s">
        <v>161</v>
      </c>
      <c r="L186" s="67" t="s">
        <v>1450</v>
      </c>
      <c r="M186" s="67" t="s">
        <v>1451</v>
      </c>
      <c r="N186" s="67" t="s">
        <v>1451</v>
      </c>
      <c r="O186" s="67" t="s">
        <v>165</v>
      </c>
      <c r="P186" s="67" t="s">
        <v>1452</v>
      </c>
    </row>
    <row r="187" s="43" customFormat="1" customHeight="1" spans="1:16">
      <c r="A187" s="67" t="s">
        <v>1453</v>
      </c>
      <c r="B187" s="67">
        <v>54.75</v>
      </c>
      <c r="C187" s="67">
        <v>5</v>
      </c>
      <c r="D187" s="67" t="s">
        <v>1454</v>
      </c>
      <c r="E187" s="67" t="s">
        <v>1455</v>
      </c>
      <c r="F187" s="67" t="s">
        <v>12</v>
      </c>
      <c r="G187" s="67" t="s">
        <v>1456</v>
      </c>
      <c r="H187" s="67" t="s">
        <v>1457</v>
      </c>
      <c r="I187" s="67" t="s">
        <v>161</v>
      </c>
      <c r="J187" s="67" t="s">
        <v>161</v>
      </c>
      <c r="K187" s="67" t="s">
        <v>161</v>
      </c>
      <c r="L187" s="67" t="s">
        <v>1458</v>
      </c>
      <c r="M187" s="67" t="s">
        <v>1459</v>
      </c>
      <c r="N187" s="67" t="s">
        <v>1459</v>
      </c>
      <c r="O187" s="67" t="s">
        <v>165</v>
      </c>
      <c r="P187" s="67" t="s">
        <v>1460</v>
      </c>
    </row>
    <row r="188" s="43" customFormat="1" customHeight="1" spans="1:16">
      <c r="A188" s="67" t="s">
        <v>1461</v>
      </c>
      <c r="B188" s="67">
        <v>39.6</v>
      </c>
      <c r="C188" s="67">
        <v>5</v>
      </c>
      <c r="D188" s="67" t="s">
        <v>1221</v>
      </c>
      <c r="E188" s="67" t="s">
        <v>1222</v>
      </c>
      <c r="F188" s="67" t="s">
        <v>12</v>
      </c>
      <c r="G188" s="67" t="s">
        <v>1462</v>
      </c>
      <c r="H188" s="67" t="s">
        <v>1463</v>
      </c>
      <c r="I188" s="67" t="s">
        <v>161</v>
      </c>
      <c r="J188" s="67" t="s">
        <v>161</v>
      </c>
      <c r="K188" s="67" t="s">
        <v>161</v>
      </c>
      <c r="L188" s="67" t="s">
        <v>1464</v>
      </c>
      <c r="M188" s="67" t="s">
        <v>1465</v>
      </c>
      <c r="N188" s="67" t="s">
        <v>1465</v>
      </c>
      <c r="O188" s="67" t="s">
        <v>165</v>
      </c>
      <c r="P188" s="67" t="s">
        <v>1466</v>
      </c>
    </row>
    <row r="189" s="43" customFormat="1" customHeight="1" spans="1:16">
      <c r="A189" s="67" t="s">
        <v>1467</v>
      </c>
      <c r="B189" s="67">
        <v>9.89</v>
      </c>
      <c r="C189" s="67">
        <v>2</v>
      </c>
      <c r="D189" s="67" t="s">
        <v>1111</v>
      </c>
      <c r="E189" s="67" t="s">
        <v>1112</v>
      </c>
      <c r="F189" s="67" t="s">
        <v>12</v>
      </c>
      <c r="G189" s="67" t="s">
        <v>1468</v>
      </c>
      <c r="H189" s="67" t="s">
        <v>1469</v>
      </c>
      <c r="I189" s="67" t="s">
        <v>161</v>
      </c>
      <c r="J189" s="67" t="s">
        <v>161</v>
      </c>
      <c r="K189" s="67" t="s">
        <v>161</v>
      </c>
      <c r="L189" s="67" t="s">
        <v>1470</v>
      </c>
      <c r="M189" s="67" t="s">
        <v>1471</v>
      </c>
      <c r="N189" s="67" t="s">
        <v>1471</v>
      </c>
      <c r="O189" s="67" t="s">
        <v>165</v>
      </c>
      <c r="P189" s="67" t="s">
        <v>1472</v>
      </c>
    </row>
    <row r="190" s="43" customFormat="1" customHeight="1" spans="1:16">
      <c r="A190" s="67" t="s">
        <v>1473</v>
      </c>
      <c r="B190" s="67">
        <v>24.64</v>
      </c>
      <c r="C190" s="67">
        <v>5</v>
      </c>
      <c r="D190" s="67" t="s">
        <v>1474</v>
      </c>
      <c r="E190" s="67" t="s">
        <v>1128</v>
      </c>
      <c r="F190" s="67" t="s">
        <v>12</v>
      </c>
      <c r="G190" s="67" t="s">
        <v>1475</v>
      </c>
      <c r="H190" s="67" t="s">
        <v>1476</v>
      </c>
      <c r="I190" s="67" t="s">
        <v>161</v>
      </c>
      <c r="J190" s="67" t="s">
        <v>161</v>
      </c>
      <c r="K190" s="67" t="s">
        <v>161</v>
      </c>
      <c r="L190" s="67" t="s">
        <v>1477</v>
      </c>
      <c r="M190" s="67" t="s">
        <v>1478</v>
      </c>
      <c r="N190" s="67" t="s">
        <v>1478</v>
      </c>
      <c r="O190" s="67" t="s">
        <v>165</v>
      </c>
      <c r="P190" s="67" t="s">
        <v>1479</v>
      </c>
    </row>
    <row r="191" s="43" customFormat="1" customHeight="1" spans="1:16">
      <c r="A191" s="67" t="s">
        <v>1480</v>
      </c>
      <c r="B191" s="67">
        <v>14.79</v>
      </c>
      <c r="C191" s="67">
        <v>3</v>
      </c>
      <c r="D191" s="67" t="s">
        <v>1250</v>
      </c>
      <c r="E191" s="67" t="s">
        <v>1112</v>
      </c>
      <c r="F191" s="67" t="s">
        <v>12</v>
      </c>
      <c r="G191" s="67" t="s">
        <v>1481</v>
      </c>
      <c r="H191" s="67" t="s">
        <v>1482</v>
      </c>
      <c r="I191" s="67" t="s">
        <v>161</v>
      </c>
      <c r="J191" s="67" t="s">
        <v>161</v>
      </c>
      <c r="K191" s="67" t="s">
        <v>161</v>
      </c>
      <c r="L191" s="67" t="s">
        <v>1483</v>
      </c>
      <c r="M191" s="67" t="s">
        <v>1484</v>
      </c>
      <c r="N191" s="67" t="s">
        <v>1484</v>
      </c>
      <c r="O191" s="67" t="s">
        <v>165</v>
      </c>
      <c r="P191" s="67" t="s">
        <v>1485</v>
      </c>
    </row>
    <row r="192" s="43" customFormat="1" customHeight="1" spans="1:16">
      <c r="A192" s="67" t="s">
        <v>1486</v>
      </c>
      <c r="B192" s="67">
        <v>19.74</v>
      </c>
      <c r="C192" s="67">
        <v>4</v>
      </c>
      <c r="D192" s="67" t="s">
        <v>1135</v>
      </c>
      <c r="E192" s="67" t="s">
        <v>1128</v>
      </c>
      <c r="F192" s="67" t="s">
        <v>78</v>
      </c>
      <c r="G192" s="67" t="s">
        <v>1487</v>
      </c>
      <c r="H192" s="67" t="s">
        <v>1488</v>
      </c>
      <c r="I192" s="67" t="s">
        <v>161</v>
      </c>
      <c r="J192" s="67" t="s">
        <v>161</v>
      </c>
      <c r="K192" s="67" t="s">
        <v>161</v>
      </c>
      <c r="L192" s="67" t="s">
        <v>1489</v>
      </c>
      <c r="M192" s="67" t="s">
        <v>1490</v>
      </c>
      <c r="N192" s="67" t="s">
        <v>1490</v>
      </c>
      <c r="O192" s="67" t="s">
        <v>165</v>
      </c>
      <c r="P192" s="67" t="s">
        <v>1491</v>
      </c>
    </row>
    <row r="193" s="43" customFormat="1" customHeight="1" spans="1:16">
      <c r="A193" s="67" t="s">
        <v>1492</v>
      </c>
      <c r="B193" s="67">
        <v>101.2</v>
      </c>
      <c r="C193" s="67">
        <v>11</v>
      </c>
      <c r="D193" s="67" t="s">
        <v>1493</v>
      </c>
      <c r="E193" s="67" t="s">
        <v>1494</v>
      </c>
      <c r="F193" s="67" t="s">
        <v>78</v>
      </c>
      <c r="G193" s="67" t="s">
        <v>1495</v>
      </c>
      <c r="H193" s="67" t="s">
        <v>1496</v>
      </c>
      <c r="I193" s="67" t="s">
        <v>161</v>
      </c>
      <c r="J193" s="67" t="s">
        <v>161</v>
      </c>
      <c r="K193" s="67" t="s">
        <v>161</v>
      </c>
      <c r="L193" s="67" t="s">
        <v>1497</v>
      </c>
      <c r="M193" s="67" t="s">
        <v>1498</v>
      </c>
      <c r="N193" s="67" t="s">
        <v>1498</v>
      </c>
      <c r="O193" s="67" t="s">
        <v>165</v>
      </c>
      <c r="P193" s="67" t="s">
        <v>1499</v>
      </c>
    </row>
    <row r="194" s="43" customFormat="1" customHeight="1" spans="1:16">
      <c r="A194" s="67" t="s">
        <v>1500</v>
      </c>
      <c r="B194" s="67">
        <v>38.3</v>
      </c>
      <c r="C194" s="67">
        <v>4</v>
      </c>
      <c r="D194" s="67" t="s">
        <v>1501</v>
      </c>
      <c r="E194" s="67" t="s">
        <v>1502</v>
      </c>
      <c r="F194" s="67" t="s">
        <v>104</v>
      </c>
      <c r="G194" s="67" t="s">
        <v>1503</v>
      </c>
      <c r="H194" s="67" t="s">
        <v>1504</v>
      </c>
      <c r="I194" s="67" t="s">
        <v>161</v>
      </c>
      <c r="J194" s="67" t="s">
        <v>161</v>
      </c>
      <c r="K194" s="67" t="s">
        <v>161</v>
      </c>
      <c r="L194" s="67" t="s">
        <v>1505</v>
      </c>
      <c r="M194" s="67" t="s">
        <v>1506</v>
      </c>
      <c r="N194" s="67" t="s">
        <v>1506</v>
      </c>
      <c r="O194" s="67" t="s">
        <v>165</v>
      </c>
      <c r="P194" s="67" t="s">
        <v>1507</v>
      </c>
    </row>
    <row r="195" s="43" customFormat="1" customHeight="1" spans="1:16">
      <c r="A195" s="67" t="s">
        <v>1508</v>
      </c>
      <c r="B195" s="67">
        <v>26.89</v>
      </c>
      <c r="C195" s="67">
        <v>2</v>
      </c>
      <c r="D195" s="67" t="s">
        <v>232</v>
      </c>
      <c r="E195" s="67" t="s">
        <v>233</v>
      </c>
      <c r="F195" s="67" t="s">
        <v>12</v>
      </c>
      <c r="G195" s="67" t="s">
        <v>1509</v>
      </c>
      <c r="H195" s="67" t="s">
        <v>1510</v>
      </c>
      <c r="I195" s="67" t="s">
        <v>161</v>
      </c>
      <c r="J195" s="67" t="s">
        <v>161</v>
      </c>
      <c r="K195" s="67" t="s">
        <v>161</v>
      </c>
      <c r="L195" s="67" t="s">
        <v>1511</v>
      </c>
      <c r="M195" s="67" t="s">
        <v>1512</v>
      </c>
      <c r="N195" s="67" t="s">
        <v>1512</v>
      </c>
      <c r="O195" s="67" t="s">
        <v>165</v>
      </c>
      <c r="P195" s="67" t="s">
        <v>1513</v>
      </c>
    </row>
    <row r="196" s="43" customFormat="1" customHeight="1" spans="1:16">
      <c r="A196" s="67" t="s">
        <v>1514</v>
      </c>
      <c r="B196" s="67">
        <v>46.55</v>
      </c>
      <c r="C196" s="67">
        <v>6</v>
      </c>
      <c r="D196" s="67" t="s">
        <v>1515</v>
      </c>
      <c r="E196" s="67" t="s">
        <v>1336</v>
      </c>
      <c r="F196" s="67" t="s">
        <v>78</v>
      </c>
      <c r="G196" s="67" t="s">
        <v>1516</v>
      </c>
      <c r="H196" s="67" t="s">
        <v>1517</v>
      </c>
      <c r="I196" s="67" t="s">
        <v>161</v>
      </c>
      <c r="J196" s="67" t="s">
        <v>161</v>
      </c>
      <c r="K196" s="67" t="s">
        <v>161</v>
      </c>
      <c r="L196" s="67" t="s">
        <v>1518</v>
      </c>
      <c r="M196" s="67" t="s">
        <v>1519</v>
      </c>
      <c r="N196" s="67" t="s">
        <v>1519</v>
      </c>
      <c r="O196" s="67" t="s">
        <v>165</v>
      </c>
      <c r="P196" s="67" t="s">
        <v>1491</v>
      </c>
    </row>
    <row r="197" s="43" customFormat="1" customHeight="1" spans="1:16">
      <c r="A197" s="67" t="s">
        <v>1520</v>
      </c>
      <c r="B197" s="67">
        <v>14.79</v>
      </c>
      <c r="C197" s="67">
        <v>2</v>
      </c>
      <c r="D197" s="67" t="s">
        <v>1142</v>
      </c>
      <c r="E197" s="67" t="s">
        <v>1143</v>
      </c>
      <c r="F197" s="67" t="s">
        <v>12</v>
      </c>
      <c r="G197" s="67" t="s">
        <v>1521</v>
      </c>
      <c r="H197" s="67" t="s">
        <v>1522</v>
      </c>
      <c r="I197" s="67" t="s">
        <v>161</v>
      </c>
      <c r="J197" s="67" t="s">
        <v>161</v>
      </c>
      <c r="K197" s="67" t="s">
        <v>161</v>
      </c>
      <c r="L197" s="67" t="s">
        <v>1523</v>
      </c>
      <c r="M197" s="67" t="s">
        <v>1524</v>
      </c>
      <c r="N197" s="67" t="s">
        <v>1524</v>
      </c>
      <c r="O197" s="67" t="s">
        <v>165</v>
      </c>
      <c r="P197" s="67" t="s">
        <v>1525</v>
      </c>
    </row>
    <row r="198" s="43" customFormat="1" customHeight="1" spans="1:16">
      <c r="A198" s="67" t="s">
        <v>1526</v>
      </c>
      <c r="B198" s="67">
        <v>26.89</v>
      </c>
      <c r="C198" s="67">
        <v>2</v>
      </c>
      <c r="D198" s="67" t="s">
        <v>232</v>
      </c>
      <c r="E198" s="67" t="s">
        <v>233</v>
      </c>
      <c r="F198" s="67" t="s">
        <v>12</v>
      </c>
      <c r="G198" s="67" t="s">
        <v>1527</v>
      </c>
      <c r="H198" s="67" t="s">
        <v>1528</v>
      </c>
      <c r="I198" s="67" t="s">
        <v>161</v>
      </c>
      <c r="J198" s="67" t="s">
        <v>161</v>
      </c>
      <c r="K198" s="67" t="s">
        <v>161</v>
      </c>
      <c r="L198" s="67" t="s">
        <v>1529</v>
      </c>
      <c r="M198" s="67" t="s">
        <v>1530</v>
      </c>
      <c r="N198" s="67" t="s">
        <v>1530</v>
      </c>
      <c r="O198" s="67" t="s">
        <v>165</v>
      </c>
      <c r="P198" s="67" t="s">
        <v>1531</v>
      </c>
    </row>
    <row r="199" s="43" customFormat="1" customHeight="1" spans="1:16">
      <c r="A199" s="67" t="s">
        <v>1532</v>
      </c>
      <c r="B199" s="67">
        <v>47.8</v>
      </c>
      <c r="C199" s="67">
        <v>4</v>
      </c>
      <c r="D199" s="67" t="s">
        <v>290</v>
      </c>
      <c r="E199" s="67" t="s">
        <v>1533</v>
      </c>
      <c r="F199" s="67" t="s">
        <v>78</v>
      </c>
      <c r="G199" s="67" t="s">
        <v>1534</v>
      </c>
      <c r="H199" s="67" t="s">
        <v>1535</v>
      </c>
      <c r="I199" s="67" t="s">
        <v>161</v>
      </c>
      <c r="J199" s="67" t="s">
        <v>161</v>
      </c>
      <c r="K199" s="67" t="s">
        <v>161</v>
      </c>
      <c r="L199" s="67" t="s">
        <v>1536</v>
      </c>
      <c r="M199" s="67" t="s">
        <v>1537</v>
      </c>
      <c r="N199" s="67" t="s">
        <v>1537</v>
      </c>
      <c r="O199" s="67" t="s">
        <v>165</v>
      </c>
      <c r="P199" s="67" t="s">
        <v>1491</v>
      </c>
    </row>
    <row r="200" s="43" customFormat="1" customHeight="1" spans="1:16">
      <c r="A200" s="67" t="s">
        <v>1532</v>
      </c>
      <c r="B200" s="67">
        <v>0</v>
      </c>
      <c r="C200" s="67">
        <v>1</v>
      </c>
      <c r="D200" s="67" t="s">
        <v>1538</v>
      </c>
      <c r="E200" s="67" t="s">
        <v>161</v>
      </c>
      <c r="F200" s="67" t="s">
        <v>78</v>
      </c>
      <c r="G200" s="67" t="s">
        <v>1534</v>
      </c>
      <c r="H200" s="67" t="s">
        <v>1539</v>
      </c>
      <c r="I200" s="67" t="s">
        <v>161</v>
      </c>
      <c r="J200" s="67" t="s">
        <v>161</v>
      </c>
      <c r="K200" s="67" t="s">
        <v>161</v>
      </c>
      <c r="L200" s="67" t="s">
        <v>1536</v>
      </c>
      <c r="M200" s="67" t="s">
        <v>1540</v>
      </c>
      <c r="N200" s="67" t="s">
        <v>1540</v>
      </c>
      <c r="O200" s="67" t="s">
        <v>165</v>
      </c>
      <c r="P200" s="67" t="s">
        <v>1541</v>
      </c>
    </row>
    <row r="201" s="43" customFormat="1" customHeight="1" spans="1:16">
      <c r="A201" s="67" t="s">
        <v>1542</v>
      </c>
      <c r="B201" s="67">
        <v>10.84</v>
      </c>
      <c r="C201" s="67">
        <v>2</v>
      </c>
      <c r="D201" s="67" t="s">
        <v>1111</v>
      </c>
      <c r="E201" s="67" t="s">
        <v>1112</v>
      </c>
      <c r="F201" s="67" t="s">
        <v>98</v>
      </c>
      <c r="G201" s="67" t="s">
        <v>1543</v>
      </c>
      <c r="H201" s="67" t="s">
        <v>1544</v>
      </c>
      <c r="I201" s="67" t="s">
        <v>161</v>
      </c>
      <c r="J201" s="67" t="s">
        <v>161</v>
      </c>
      <c r="K201" s="67" t="s">
        <v>161</v>
      </c>
      <c r="L201" s="67" t="s">
        <v>1545</v>
      </c>
      <c r="M201" s="67" t="s">
        <v>1546</v>
      </c>
      <c r="N201" s="67" t="s">
        <v>1546</v>
      </c>
      <c r="O201" s="67" t="s">
        <v>165</v>
      </c>
      <c r="P201" s="67" t="s">
        <v>1547</v>
      </c>
    </row>
    <row r="202" s="43" customFormat="1" customHeight="1" spans="1:16">
      <c r="A202" s="67" t="s">
        <v>1548</v>
      </c>
      <c r="B202" s="67">
        <v>34.7</v>
      </c>
      <c r="C202" s="67">
        <v>4</v>
      </c>
      <c r="D202" s="67" t="s">
        <v>1343</v>
      </c>
      <c r="E202" s="67" t="s">
        <v>1344</v>
      </c>
      <c r="F202" s="67" t="s">
        <v>12</v>
      </c>
      <c r="G202" s="67" t="s">
        <v>1549</v>
      </c>
      <c r="H202" s="67" t="s">
        <v>1550</v>
      </c>
      <c r="I202" s="67" t="s">
        <v>161</v>
      </c>
      <c r="J202" s="67" t="s">
        <v>161</v>
      </c>
      <c r="K202" s="67" t="s">
        <v>161</v>
      </c>
      <c r="L202" s="67" t="s">
        <v>1551</v>
      </c>
      <c r="M202" s="67" t="s">
        <v>1552</v>
      </c>
      <c r="N202" s="67" t="s">
        <v>1552</v>
      </c>
      <c r="O202" s="67" t="s">
        <v>165</v>
      </c>
      <c r="P202" s="67" t="s">
        <v>1553</v>
      </c>
    </row>
    <row r="203" s="43" customFormat="1" customHeight="1" spans="1:16">
      <c r="A203" s="67" t="s">
        <v>1554</v>
      </c>
      <c r="B203" s="67">
        <v>30.85</v>
      </c>
      <c r="C203" s="67">
        <v>3</v>
      </c>
      <c r="D203" s="67" t="s">
        <v>246</v>
      </c>
      <c r="E203" s="67" t="s">
        <v>1555</v>
      </c>
      <c r="F203" s="67" t="s">
        <v>12</v>
      </c>
      <c r="G203" s="67" t="s">
        <v>1556</v>
      </c>
      <c r="H203" s="67" t="s">
        <v>1557</v>
      </c>
      <c r="I203" s="67" t="s">
        <v>161</v>
      </c>
      <c r="J203" s="67" t="s">
        <v>161</v>
      </c>
      <c r="K203" s="67" t="s">
        <v>161</v>
      </c>
      <c r="L203" s="67" t="s">
        <v>1558</v>
      </c>
      <c r="M203" s="67" t="s">
        <v>1559</v>
      </c>
      <c r="N203" s="67" t="s">
        <v>1559</v>
      </c>
      <c r="O203" s="67" t="s">
        <v>165</v>
      </c>
      <c r="P203" s="67" t="s">
        <v>1560</v>
      </c>
    </row>
    <row r="204" s="43" customFormat="1" customHeight="1" spans="1:16">
      <c r="A204" s="67" t="s">
        <v>1561</v>
      </c>
      <c r="B204" s="67">
        <v>35.7</v>
      </c>
      <c r="C204" s="67">
        <v>4</v>
      </c>
      <c r="D204" s="67" t="s">
        <v>565</v>
      </c>
      <c r="E204" s="67" t="s">
        <v>566</v>
      </c>
      <c r="F204" s="67" t="s">
        <v>12</v>
      </c>
      <c r="G204" s="67" t="s">
        <v>1562</v>
      </c>
      <c r="H204" s="67" t="s">
        <v>1563</v>
      </c>
      <c r="I204" s="67" t="s">
        <v>161</v>
      </c>
      <c r="J204" s="67" t="s">
        <v>161</v>
      </c>
      <c r="K204" s="67" t="s">
        <v>161</v>
      </c>
      <c r="L204" s="67" t="s">
        <v>1564</v>
      </c>
      <c r="M204" s="67" t="s">
        <v>1565</v>
      </c>
      <c r="N204" s="67" t="s">
        <v>1565</v>
      </c>
      <c r="O204" s="67" t="s">
        <v>165</v>
      </c>
      <c r="P204" s="67" t="s">
        <v>1566</v>
      </c>
    </row>
    <row r="205" s="43" customFormat="1" customHeight="1" spans="1:16">
      <c r="A205" s="67" t="s">
        <v>1567</v>
      </c>
      <c r="B205" s="67">
        <v>33.33</v>
      </c>
      <c r="C205" s="67">
        <v>6</v>
      </c>
      <c r="D205" s="67" t="s">
        <v>1568</v>
      </c>
      <c r="E205" s="67" t="s">
        <v>1569</v>
      </c>
      <c r="F205" s="67" t="s">
        <v>90</v>
      </c>
      <c r="G205" s="67" t="s">
        <v>1570</v>
      </c>
      <c r="H205" s="67" t="s">
        <v>1571</v>
      </c>
      <c r="I205" s="67" t="s">
        <v>161</v>
      </c>
      <c r="J205" s="67" t="s">
        <v>161</v>
      </c>
      <c r="K205" s="67" t="s">
        <v>161</v>
      </c>
      <c r="L205" s="67" t="s">
        <v>1572</v>
      </c>
      <c r="M205" s="67" t="s">
        <v>1573</v>
      </c>
      <c r="N205" s="67" t="s">
        <v>1573</v>
      </c>
      <c r="O205" s="67" t="s">
        <v>165</v>
      </c>
      <c r="P205" s="67" t="s">
        <v>1574</v>
      </c>
    </row>
    <row r="206" s="43" customFormat="1" customHeight="1" spans="1:16">
      <c r="A206" s="67" t="s">
        <v>1575</v>
      </c>
      <c r="B206" s="67">
        <v>14.3</v>
      </c>
      <c r="C206" s="67">
        <v>3</v>
      </c>
      <c r="D206" s="67" t="s">
        <v>1250</v>
      </c>
      <c r="E206" s="67" t="s">
        <v>1112</v>
      </c>
      <c r="F206" s="67" t="s">
        <v>12</v>
      </c>
      <c r="G206" s="67" t="s">
        <v>1576</v>
      </c>
      <c r="H206" s="67" t="s">
        <v>1577</v>
      </c>
      <c r="I206" s="67" t="s">
        <v>161</v>
      </c>
      <c r="J206" s="67" t="s">
        <v>161</v>
      </c>
      <c r="K206" s="67" t="s">
        <v>161</v>
      </c>
      <c r="L206" s="67" t="s">
        <v>1578</v>
      </c>
      <c r="M206" s="67" t="s">
        <v>1579</v>
      </c>
      <c r="N206" s="67" t="s">
        <v>1579</v>
      </c>
      <c r="O206" s="67" t="s">
        <v>165</v>
      </c>
      <c r="P206" s="67" t="s">
        <v>1580</v>
      </c>
    </row>
    <row r="207" s="43" customFormat="1" customHeight="1" spans="1:16">
      <c r="A207" s="67" t="s">
        <v>1581</v>
      </c>
      <c r="B207" s="67">
        <v>14.79</v>
      </c>
      <c r="C207" s="67">
        <v>2</v>
      </c>
      <c r="D207" s="67" t="s">
        <v>1142</v>
      </c>
      <c r="E207" s="67" t="s">
        <v>1143</v>
      </c>
      <c r="F207" s="67" t="s">
        <v>12</v>
      </c>
      <c r="G207" s="67" t="s">
        <v>1582</v>
      </c>
      <c r="H207" s="67" t="s">
        <v>1583</v>
      </c>
      <c r="I207" s="67" t="s">
        <v>161</v>
      </c>
      <c r="J207" s="67" t="s">
        <v>161</v>
      </c>
      <c r="K207" s="67" t="s">
        <v>161</v>
      </c>
      <c r="L207" s="67" t="s">
        <v>1584</v>
      </c>
      <c r="M207" s="67" t="s">
        <v>1585</v>
      </c>
      <c r="N207" s="67" t="s">
        <v>1585</v>
      </c>
      <c r="O207" s="67" t="s">
        <v>165</v>
      </c>
      <c r="P207" s="67" t="s">
        <v>1586</v>
      </c>
    </row>
    <row r="208" s="43" customFormat="1" customHeight="1" spans="1:16">
      <c r="A208" s="67" t="s">
        <v>1587</v>
      </c>
      <c r="B208" s="67">
        <v>14.79</v>
      </c>
      <c r="C208" s="67">
        <v>3</v>
      </c>
      <c r="D208" s="67" t="s">
        <v>1250</v>
      </c>
      <c r="E208" s="67" t="s">
        <v>1112</v>
      </c>
      <c r="F208" s="67" t="s">
        <v>12</v>
      </c>
      <c r="G208" s="67" t="s">
        <v>1588</v>
      </c>
      <c r="H208" s="67" t="s">
        <v>1589</v>
      </c>
      <c r="I208" s="67" t="s">
        <v>161</v>
      </c>
      <c r="J208" s="67" t="s">
        <v>161</v>
      </c>
      <c r="K208" s="67" t="s">
        <v>161</v>
      </c>
      <c r="L208" s="67" t="s">
        <v>1590</v>
      </c>
      <c r="M208" s="67" t="s">
        <v>1591</v>
      </c>
      <c r="N208" s="67" t="s">
        <v>1591</v>
      </c>
      <c r="O208" s="67" t="s">
        <v>165</v>
      </c>
      <c r="P208" s="67" t="s">
        <v>1592</v>
      </c>
    </row>
    <row r="209" s="43" customFormat="1" customHeight="1" spans="1:16">
      <c r="A209" s="67" t="s">
        <v>1593</v>
      </c>
      <c r="B209" s="67">
        <v>33.7</v>
      </c>
      <c r="C209" s="67">
        <v>4</v>
      </c>
      <c r="D209" s="67" t="s">
        <v>1594</v>
      </c>
      <c r="E209" s="67" t="s">
        <v>1595</v>
      </c>
      <c r="F209" s="67" t="s">
        <v>12</v>
      </c>
      <c r="G209" s="67" t="s">
        <v>1596</v>
      </c>
      <c r="H209" s="67" t="s">
        <v>1597</v>
      </c>
      <c r="I209" s="67" t="s">
        <v>161</v>
      </c>
      <c r="J209" s="67" t="s">
        <v>161</v>
      </c>
      <c r="K209" s="67" t="s">
        <v>161</v>
      </c>
      <c r="L209" s="67" t="s">
        <v>1598</v>
      </c>
      <c r="M209" s="67" t="s">
        <v>1599</v>
      </c>
      <c r="N209" s="67" t="s">
        <v>1599</v>
      </c>
      <c r="O209" s="67" t="s">
        <v>165</v>
      </c>
      <c r="P209" s="67" t="s">
        <v>1600</v>
      </c>
    </row>
    <row r="210" s="43" customFormat="1" customHeight="1" spans="1:16">
      <c r="A210" s="67" t="s">
        <v>1601</v>
      </c>
      <c r="B210" s="67">
        <v>14.79</v>
      </c>
      <c r="C210" s="67">
        <v>3</v>
      </c>
      <c r="D210" s="67" t="s">
        <v>1250</v>
      </c>
      <c r="E210" s="67" t="s">
        <v>1112</v>
      </c>
      <c r="F210" s="67" t="s">
        <v>12</v>
      </c>
      <c r="G210" s="67" t="s">
        <v>1602</v>
      </c>
      <c r="H210" s="67" t="s">
        <v>1603</v>
      </c>
      <c r="I210" s="67" t="s">
        <v>161</v>
      </c>
      <c r="J210" s="67" t="s">
        <v>161</v>
      </c>
      <c r="K210" s="67" t="s">
        <v>1604</v>
      </c>
      <c r="L210" s="67" t="s">
        <v>1605</v>
      </c>
      <c r="M210" s="67" t="s">
        <v>1606</v>
      </c>
      <c r="N210" s="67" t="s">
        <v>1606</v>
      </c>
      <c r="O210" s="67" t="s">
        <v>165</v>
      </c>
      <c r="P210" s="67" t="s">
        <v>1607</v>
      </c>
    </row>
    <row r="211" s="43" customFormat="1" customHeight="1" spans="1:16">
      <c r="A211" s="67" t="s">
        <v>1608</v>
      </c>
      <c r="B211" s="67">
        <v>33.7</v>
      </c>
      <c r="C211" s="67">
        <v>4</v>
      </c>
      <c r="D211" s="67" t="s">
        <v>1609</v>
      </c>
      <c r="E211" s="67" t="s">
        <v>1610</v>
      </c>
      <c r="F211" s="67" t="s">
        <v>78</v>
      </c>
      <c r="G211" s="67" t="s">
        <v>1611</v>
      </c>
      <c r="H211" s="67" t="s">
        <v>1612</v>
      </c>
      <c r="I211" s="67" t="s">
        <v>161</v>
      </c>
      <c r="J211" s="67" t="s">
        <v>161</v>
      </c>
      <c r="K211" s="67" t="s">
        <v>161</v>
      </c>
      <c r="L211" s="67" t="s">
        <v>1613</v>
      </c>
      <c r="M211" s="67" t="s">
        <v>1614</v>
      </c>
      <c r="N211" s="67" t="s">
        <v>1614</v>
      </c>
      <c r="O211" s="67" t="s">
        <v>165</v>
      </c>
      <c r="P211" s="67" t="s">
        <v>1615</v>
      </c>
    </row>
    <row r="212" s="43" customFormat="1" customHeight="1" spans="1:16">
      <c r="A212" s="67" t="s">
        <v>1616</v>
      </c>
      <c r="B212" s="67">
        <v>88.71</v>
      </c>
      <c r="C212" s="67">
        <v>7</v>
      </c>
      <c r="D212" s="67" t="s">
        <v>1617</v>
      </c>
      <c r="E212" s="67" t="s">
        <v>1618</v>
      </c>
      <c r="F212" s="67" t="s">
        <v>98</v>
      </c>
      <c r="G212" s="67" t="s">
        <v>1619</v>
      </c>
      <c r="H212" s="67" t="s">
        <v>1620</v>
      </c>
      <c r="I212" s="67" t="s">
        <v>161</v>
      </c>
      <c r="J212" s="67" t="s">
        <v>161</v>
      </c>
      <c r="K212" s="67" t="s">
        <v>161</v>
      </c>
      <c r="L212" s="67" t="s">
        <v>1621</v>
      </c>
      <c r="M212" s="67" t="s">
        <v>1622</v>
      </c>
      <c r="N212" s="67" t="s">
        <v>1622</v>
      </c>
      <c r="O212" s="67" t="s">
        <v>165</v>
      </c>
      <c r="P212" s="67" t="s">
        <v>1623</v>
      </c>
    </row>
    <row r="213" s="43" customFormat="1" customHeight="1" spans="1:16">
      <c r="A213" s="67" t="s">
        <v>1624</v>
      </c>
      <c r="B213" s="67">
        <v>88.48</v>
      </c>
      <c r="C213" s="67">
        <v>11</v>
      </c>
      <c r="D213" s="67" t="s">
        <v>1625</v>
      </c>
      <c r="E213" s="67" t="s">
        <v>1626</v>
      </c>
      <c r="F213" s="67" t="s">
        <v>98</v>
      </c>
      <c r="G213" s="67" t="s">
        <v>1627</v>
      </c>
      <c r="H213" s="67" t="s">
        <v>1628</v>
      </c>
      <c r="I213" s="67" t="s">
        <v>161</v>
      </c>
      <c r="J213" s="67" t="s">
        <v>161</v>
      </c>
      <c r="K213" s="67" t="s">
        <v>161</v>
      </c>
      <c r="L213" s="67" t="s">
        <v>1629</v>
      </c>
      <c r="M213" s="67" t="s">
        <v>1630</v>
      </c>
      <c r="N213" s="67" t="s">
        <v>1630</v>
      </c>
      <c r="O213" s="67" t="s">
        <v>165</v>
      </c>
      <c r="P213" s="67" t="s">
        <v>1631</v>
      </c>
    </row>
    <row r="214" s="43" customFormat="1" customHeight="1" spans="1:16">
      <c r="A214" s="67" t="s">
        <v>1632</v>
      </c>
      <c r="B214" s="67">
        <v>9.89</v>
      </c>
      <c r="C214" s="67">
        <v>2</v>
      </c>
      <c r="D214" s="67" t="s">
        <v>1111</v>
      </c>
      <c r="E214" s="67" t="s">
        <v>1112</v>
      </c>
      <c r="F214" s="67" t="s">
        <v>12</v>
      </c>
      <c r="G214" s="67" t="s">
        <v>1633</v>
      </c>
      <c r="H214" s="67" t="s">
        <v>1634</v>
      </c>
      <c r="I214" s="67" t="s">
        <v>161</v>
      </c>
      <c r="J214" s="67" t="s">
        <v>161</v>
      </c>
      <c r="K214" s="67" t="s">
        <v>1635</v>
      </c>
      <c r="L214" s="67" t="s">
        <v>1636</v>
      </c>
      <c r="M214" s="67" t="s">
        <v>1637</v>
      </c>
      <c r="N214" s="67" t="s">
        <v>1637</v>
      </c>
      <c r="O214" s="67" t="s">
        <v>165</v>
      </c>
      <c r="P214" s="67" t="s">
        <v>1638</v>
      </c>
    </row>
    <row r="215" s="43" customFormat="1" customHeight="1" spans="1:16">
      <c r="A215" s="67" t="s">
        <v>1639</v>
      </c>
      <c r="B215" s="67">
        <v>30.45</v>
      </c>
      <c r="C215" s="67">
        <v>7</v>
      </c>
      <c r="D215" s="67" t="s">
        <v>1640</v>
      </c>
      <c r="E215" s="67" t="s">
        <v>1641</v>
      </c>
      <c r="F215" s="67" t="s">
        <v>12</v>
      </c>
      <c r="G215" s="67" t="s">
        <v>1642</v>
      </c>
      <c r="H215" s="67" t="s">
        <v>1643</v>
      </c>
      <c r="I215" s="67" t="s">
        <v>161</v>
      </c>
      <c r="J215" s="67" t="s">
        <v>161</v>
      </c>
      <c r="K215" s="67" t="s">
        <v>161</v>
      </c>
      <c r="L215" s="67" t="s">
        <v>1644</v>
      </c>
      <c r="M215" s="67" t="s">
        <v>1645</v>
      </c>
      <c r="N215" s="67" t="s">
        <v>1645</v>
      </c>
      <c r="O215" s="67" t="s">
        <v>165</v>
      </c>
      <c r="P215" s="67" t="s">
        <v>1646</v>
      </c>
    </row>
    <row r="216" s="43" customFormat="1" customHeight="1" spans="1:16">
      <c r="A216" s="67" t="s">
        <v>1647</v>
      </c>
      <c r="B216" s="67">
        <v>26.89</v>
      </c>
      <c r="C216" s="67">
        <v>2</v>
      </c>
      <c r="D216" s="67" t="s">
        <v>232</v>
      </c>
      <c r="E216" s="67" t="s">
        <v>233</v>
      </c>
      <c r="F216" s="67" t="s">
        <v>12</v>
      </c>
      <c r="G216" s="67" t="s">
        <v>1648</v>
      </c>
      <c r="H216" s="67" t="s">
        <v>1649</v>
      </c>
      <c r="I216" s="67" t="s">
        <v>161</v>
      </c>
      <c r="J216" s="67" t="s">
        <v>161</v>
      </c>
      <c r="K216" s="67" t="s">
        <v>161</v>
      </c>
      <c r="L216" s="67" t="s">
        <v>1650</v>
      </c>
      <c r="M216" s="67" t="s">
        <v>1651</v>
      </c>
      <c r="N216" s="67" t="s">
        <v>1651</v>
      </c>
      <c r="O216" s="67" t="s">
        <v>165</v>
      </c>
      <c r="P216" s="67" t="s">
        <v>1652</v>
      </c>
    </row>
    <row r="217" s="43" customFormat="1" customHeight="1" spans="1:16">
      <c r="A217" s="67" t="s">
        <v>1653</v>
      </c>
      <c r="B217" s="67">
        <v>9.89</v>
      </c>
      <c r="C217" s="67">
        <v>2</v>
      </c>
      <c r="D217" s="67" t="s">
        <v>1111</v>
      </c>
      <c r="E217" s="67" t="s">
        <v>1112</v>
      </c>
      <c r="F217" s="67" t="s">
        <v>12</v>
      </c>
      <c r="G217" s="67" t="s">
        <v>1654</v>
      </c>
      <c r="H217" s="67" t="s">
        <v>1655</v>
      </c>
      <c r="I217" s="67" t="s">
        <v>161</v>
      </c>
      <c r="J217" s="67" t="s">
        <v>161</v>
      </c>
      <c r="K217" s="67" t="s">
        <v>161</v>
      </c>
      <c r="L217" s="67" t="s">
        <v>1656</v>
      </c>
      <c r="M217" s="67" t="s">
        <v>1657</v>
      </c>
      <c r="N217" s="67" t="s">
        <v>1657</v>
      </c>
      <c r="O217" s="67" t="s">
        <v>165</v>
      </c>
      <c r="P217" s="67" t="s">
        <v>1658</v>
      </c>
    </row>
    <row r="218" s="43" customFormat="1" customHeight="1" spans="1:16">
      <c r="A218" s="67" t="s">
        <v>1659</v>
      </c>
      <c r="B218" s="67">
        <v>9.89</v>
      </c>
      <c r="C218" s="67">
        <v>1</v>
      </c>
      <c r="D218" s="67" t="s">
        <v>1214</v>
      </c>
      <c r="E218" s="67" t="s">
        <v>1143</v>
      </c>
      <c r="F218" s="67" t="s">
        <v>12</v>
      </c>
      <c r="G218" s="67" t="s">
        <v>1660</v>
      </c>
      <c r="H218" s="67" t="s">
        <v>1661</v>
      </c>
      <c r="I218" s="67" t="s">
        <v>161</v>
      </c>
      <c r="J218" s="67" t="s">
        <v>161</v>
      </c>
      <c r="K218" s="67" t="s">
        <v>161</v>
      </c>
      <c r="L218" s="67" t="s">
        <v>1662</v>
      </c>
      <c r="M218" s="67" t="s">
        <v>1663</v>
      </c>
      <c r="N218" s="67" t="s">
        <v>1663</v>
      </c>
      <c r="O218" s="67" t="s">
        <v>165</v>
      </c>
      <c r="P218" s="67" t="s">
        <v>1664</v>
      </c>
    </row>
    <row r="219" s="43" customFormat="1" customHeight="1" spans="1:16">
      <c r="A219" s="67" t="s">
        <v>1665</v>
      </c>
      <c r="B219" s="67">
        <v>36.35</v>
      </c>
      <c r="C219" s="67">
        <v>8</v>
      </c>
      <c r="D219" s="67" t="s">
        <v>1666</v>
      </c>
      <c r="E219" s="67" t="s">
        <v>1128</v>
      </c>
      <c r="F219" s="67" t="s">
        <v>12</v>
      </c>
      <c r="G219" s="67" t="s">
        <v>1667</v>
      </c>
      <c r="H219" s="67" t="s">
        <v>1668</v>
      </c>
      <c r="I219" s="67" t="s">
        <v>161</v>
      </c>
      <c r="J219" s="67" t="s">
        <v>161</v>
      </c>
      <c r="K219" s="67" t="s">
        <v>161</v>
      </c>
      <c r="L219" s="67" t="s">
        <v>1669</v>
      </c>
      <c r="M219" s="67" t="s">
        <v>1670</v>
      </c>
      <c r="N219" s="67" t="s">
        <v>1670</v>
      </c>
      <c r="O219" s="67" t="s">
        <v>165</v>
      </c>
      <c r="P219" s="67" t="s">
        <v>1671</v>
      </c>
    </row>
    <row r="220" s="43" customFormat="1" customHeight="1" spans="1:16">
      <c r="A220" s="67" t="s">
        <v>1672</v>
      </c>
      <c r="B220" s="67">
        <v>9.89</v>
      </c>
      <c r="C220" s="67">
        <v>2</v>
      </c>
      <c r="D220" s="67" t="s">
        <v>1111</v>
      </c>
      <c r="E220" s="67" t="s">
        <v>1112</v>
      </c>
      <c r="F220" s="67" t="s">
        <v>12</v>
      </c>
      <c r="G220" s="67" t="s">
        <v>1673</v>
      </c>
      <c r="H220" s="67" t="s">
        <v>1674</v>
      </c>
      <c r="I220" s="67" t="s">
        <v>161</v>
      </c>
      <c r="J220" s="67" t="s">
        <v>161</v>
      </c>
      <c r="K220" s="67" t="s">
        <v>161</v>
      </c>
      <c r="L220" s="67" t="s">
        <v>1675</v>
      </c>
      <c r="M220" s="67" t="s">
        <v>1676</v>
      </c>
      <c r="N220" s="67" t="s">
        <v>1676</v>
      </c>
      <c r="O220" s="67" t="s">
        <v>165</v>
      </c>
      <c r="P220" s="67" t="s">
        <v>1677</v>
      </c>
    </row>
    <row r="221" s="43" customFormat="1" customHeight="1" spans="1:16">
      <c r="A221" s="67" t="s">
        <v>1678</v>
      </c>
      <c r="B221" s="67">
        <v>24.64</v>
      </c>
      <c r="C221" s="67">
        <v>5</v>
      </c>
      <c r="D221" s="67" t="s">
        <v>1474</v>
      </c>
      <c r="E221" s="67" t="s">
        <v>1128</v>
      </c>
      <c r="F221" s="67" t="s">
        <v>78</v>
      </c>
      <c r="G221" s="67" t="s">
        <v>1679</v>
      </c>
      <c r="H221" s="67" t="s">
        <v>1680</v>
      </c>
      <c r="I221" s="67" t="s">
        <v>161</v>
      </c>
      <c r="J221" s="67" t="s">
        <v>161</v>
      </c>
      <c r="K221" s="67" t="s">
        <v>161</v>
      </c>
      <c r="L221" s="67" t="s">
        <v>1681</v>
      </c>
      <c r="M221" s="67" t="s">
        <v>1682</v>
      </c>
      <c r="N221" s="67" t="s">
        <v>1682</v>
      </c>
      <c r="O221" s="67" t="s">
        <v>165</v>
      </c>
      <c r="P221" s="67" t="s">
        <v>1623</v>
      </c>
    </row>
    <row r="222" s="43" customFormat="1" customHeight="1" spans="1:16">
      <c r="A222" s="67" t="s">
        <v>1683</v>
      </c>
      <c r="B222" s="67">
        <v>19.74</v>
      </c>
      <c r="C222" s="67">
        <v>4</v>
      </c>
      <c r="D222" s="67" t="s">
        <v>1135</v>
      </c>
      <c r="E222" s="67" t="s">
        <v>1128</v>
      </c>
      <c r="F222" s="67" t="s">
        <v>12</v>
      </c>
      <c r="G222" s="67" t="s">
        <v>1684</v>
      </c>
      <c r="H222" s="67" t="s">
        <v>1685</v>
      </c>
      <c r="I222" s="67" t="s">
        <v>161</v>
      </c>
      <c r="J222" s="67" t="s">
        <v>161</v>
      </c>
      <c r="K222" s="67" t="s">
        <v>161</v>
      </c>
      <c r="L222" s="67" t="s">
        <v>1686</v>
      </c>
      <c r="M222" s="67" t="s">
        <v>1687</v>
      </c>
      <c r="N222" s="67" t="s">
        <v>1687</v>
      </c>
      <c r="O222" s="67" t="s">
        <v>165</v>
      </c>
      <c r="P222" s="67" t="s">
        <v>1688</v>
      </c>
    </row>
    <row r="223" s="43" customFormat="1" customHeight="1" spans="1:16">
      <c r="A223" s="67" t="s">
        <v>1689</v>
      </c>
      <c r="B223" s="67">
        <v>59.6</v>
      </c>
      <c r="C223" s="67">
        <v>6</v>
      </c>
      <c r="D223" s="67" t="s">
        <v>1690</v>
      </c>
      <c r="E223" s="67" t="s">
        <v>1691</v>
      </c>
      <c r="F223" s="67" t="s">
        <v>12</v>
      </c>
      <c r="G223" s="67" t="s">
        <v>1692</v>
      </c>
      <c r="H223" s="67" t="s">
        <v>1693</v>
      </c>
      <c r="I223" s="67" t="s">
        <v>161</v>
      </c>
      <c r="J223" s="67" t="s">
        <v>161</v>
      </c>
      <c r="K223" s="67" t="s">
        <v>161</v>
      </c>
      <c r="L223" s="67" t="s">
        <v>1694</v>
      </c>
      <c r="M223" s="67" t="s">
        <v>1695</v>
      </c>
      <c r="N223" s="67" t="s">
        <v>1695</v>
      </c>
      <c r="O223" s="67" t="s">
        <v>165</v>
      </c>
      <c r="P223" s="67" t="s">
        <v>1696</v>
      </c>
    </row>
    <row r="224" s="43" customFormat="1" customHeight="1" spans="1:16">
      <c r="A224" s="67" t="s">
        <v>1697</v>
      </c>
      <c r="B224" s="67">
        <v>38.71</v>
      </c>
      <c r="C224" s="67">
        <v>4</v>
      </c>
      <c r="D224" s="67" t="s">
        <v>565</v>
      </c>
      <c r="E224" s="67" t="s">
        <v>566</v>
      </c>
      <c r="F224" s="67" t="s">
        <v>98</v>
      </c>
      <c r="G224" s="67" t="s">
        <v>1698</v>
      </c>
      <c r="H224" s="67" t="s">
        <v>1699</v>
      </c>
      <c r="I224" s="67" t="s">
        <v>161</v>
      </c>
      <c r="J224" s="67" t="s">
        <v>161</v>
      </c>
      <c r="K224" s="67" t="s">
        <v>161</v>
      </c>
      <c r="L224" s="67" t="s">
        <v>1700</v>
      </c>
      <c r="M224" s="67" t="s">
        <v>1701</v>
      </c>
      <c r="N224" s="67" t="s">
        <v>1701</v>
      </c>
      <c r="O224" s="67" t="s">
        <v>165</v>
      </c>
      <c r="P224" s="67" t="s">
        <v>1702</v>
      </c>
    </row>
    <row r="225" s="43" customFormat="1" customHeight="1" spans="1:16">
      <c r="A225" s="67" t="s">
        <v>1703</v>
      </c>
      <c r="B225" s="67">
        <v>45.41</v>
      </c>
      <c r="C225" s="67">
        <v>4</v>
      </c>
      <c r="D225" s="67" t="s">
        <v>821</v>
      </c>
      <c r="E225" s="67" t="s">
        <v>1704</v>
      </c>
      <c r="F225" s="67" t="s">
        <v>78</v>
      </c>
      <c r="G225" s="67" t="s">
        <v>1705</v>
      </c>
      <c r="H225" s="67" t="s">
        <v>1706</v>
      </c>
      <c r="I225" s="67" t="s">
        <v>161</v>
      </c>
      <c r="J225" s="67" t="s">
        <v>161</v>
      </c>
      <c r="K225" s="67" t="s">
        <v>1707</v>
      </c>
      <c r="L225" s="67" t="s">
        <v>1708</v>
      </c>
      <c r="M225" s="67" t="s">
        <v>1709</v>
      </c>
      <c r="N225" s="67" t="s">
        <v>1709</v>
      </c>
      <c r="O225" s="67" t="s">
        <v>165</v>
      </c>
      <c r="P225" s="67" t="s">
        <v>1623</v>
      </c>
    </row>
    <row r="226" s="43" customFormat="1" customHeight="1" spans="1:16">
      <c r="A226" s="67" t="s">
        <v>1710</v>
      </c>
      <c r="B226" s="67">
        <v>39.31</v>
      </c>
      <c r="C226" s="67">
        <v>7</v>
      </c>
      <c r="D226" s="67" t="s">
        <v>1711</v>
      </c>
      <c r="E226" s="67" t="s">
        <v>1569</v>
      </c>
      <c r="F226" s="67" t="s">
        <v>90</v>
      </c>
      <c r="G226" s="67" t="s">
        <v>1712</v>
      </c>
      <c r="H226" s="67" t="s">
        <v>1713</v>
      </c>
      <c r="I226" s="67" t="s">
        <v>161</v>
      </c>
      <c r="J226" s="67" t="s">
        <v>161</v>
      </c>
      <c r="K226" s="67" t="s">
        <v>161</v>
      </c>
      <c r="L226" s="67" t="s">
        <v>1714</v>
      </c>
      <c r="M226" s="67" t="s">
        <v>1715</v>
      </c>
      <c r="N226" s="67" t="s">
        <v>1715</v>
      </c>
      <c r="O226" s="67" t="s">
        <v>165</v>
      </c>
      <c r="P226" s="67" t="s">
        <v>1716</v>
      </c>
    </row>
    <row r="227" s="43" customFormat="1" customHeight="1" spans="1:16">
      <c r="A227" s="67" t="s">
        <v>1717</v>
      </c>
      <c r="B227" s="67">
        <v>36.35</v>
      </c>
      <c r="C227" s="67">
        <v>8</v>
      </c>
      <c r="D227" s="67" t="s">
        <v>1666</v>
      </c>
      <c r="E227" s="67" t="s">
        <v>1128</v>
      </c>
      <c r="F227" s="67" t="s">
        <v>12</v>
      </c>
      <c r="G227" s="67" t="s">
        <v>1718</v>
      </c>
      <c r="H227" s="67" t="s">
        <v>1719</v>
      </c>
      <c r="I227" s="67" t="s">
        <v>161</v>
      </c>
      <c r="J227" s="67" t="s">
        <v>161</v>
      </c>
      <c r="K227" s="67" t="s">
        <v>161</v>
      </c>
      <c r="L227" s="67" t="s">
        <v>1720</v>
      </c>
      <c r="M227" s="67" t="s">
        <v>1721</v>
      </c>
      <c r="N227" s="67" t="s">
        <v>1721</v>
      </c>
      <c r="O227" s="67" t="s">
        <v>165</v>
      </c>
      <c r="P227" s="67" t="s">
        <v>1722</v>
      </c>
    </row>
    <row r="228" s="43" customFormat="1" customHeight="1" spans="1:16">
      <c r="A228" s="67" t="s">
        <v>1723</v>
      </c>
      <c r="B228" s="67">
        <v>31.79</v>
      </c>
      <c r="C228" s="67">
        <v>3</v>
      </c>
      <c r="D228" s="67" t="s">
        <v>1724</v>
      </c>
      <c r="E228" s="67" t="s">
        <v>1725</v>
      </c>
      <c r="F228" s="67" t="s">
        <v>12</v>
      </c>
      <c r="G228" s="67" t="s">
        <v>1726</v>
      </c>
      <c r="H228" s="67" t="s">
        <v>1727</v>
      </c>
      <c r="I228" s="67" t="s">
        <v>161</v>
      </c>
      <c r="J228" s="67" t="s">
        <v>161</v>
      </c>
      <c r="K228" s="67" t="s">
        <v>161</v>
      </c>
      <c r="L228" s="67" t="s">
        <v>1728</v>
      </c>
      <c r="M228" s="67" t="s">
        <v>1729</v>
      </c>
      <c r="N228" s="67" t="s">
        <v>1729</v>
      </c>
      <c r="O228" s="67" t="s">
        <v>165</v>
      </c>
      <c r="P228" s="67" t="s">
        <v>1730</v>
      </c>
    </row>
    <row r="229" s="43" customFormat="1" customHeight="1" spans="1:16">
      <c r="A229" s="67" t="s">
        <v>1731</v>
      </c>
      <c r="B229" s="67">
        <v>16.79</v>
      </c>
      <c r="C229" s="67">
        <v>3</v>
      </c>
      <c r="D229" s="67" t="s">
        <v>1250</v>
      </c>
      <c r="E229" s="67" t="s">
        <v>1112</v>
      </c>
      <c r="F229" s="67" t="s">
        <v>12</v>
      </c>
      <c r="G229" s="67" t="s">
        <v>1732</v>
      </c>
      <c r="H229" s="67" t="s">
        <v>1733</v>
      </c>
      <c r="I229" s="67" t="s">
        <v>161</v>
      </c>
      <c r="J229" s="67" t="s">
        <v>161</v>
      </c>
      <c r="K229" s="67" t="s">
        <v>161</v>
      </c>
      <c r="L229" s="67" t="s">
        <v>1734</v>
      </c>
      <c r="M229" s="67" t="s">
        <v>1735</v>
      </c>
      <c r="N229" s="67" t="s">
        <v>1735</v>
      </c>
      <c r="O229" s="67" t="s">
        <v>165</v>
      </c>
      <c r="P229" s="67" t="s">
        <v>1736</v>
      </c>
    </row>
    <row r="230" s="43" customFormat="1" customHeight="1" spans="1:16">
      <c r="A230" s="67" t="s">
        <v>1737</v>
      </c>
      <c r="B230" s="67">
        <v>44.5</v>
      </c>
      <c r="C230" s="67">
        <v>6</v>
      </c>
      <c r="D230" s="67" t="s">
        <v>1738</v>
      </c>
      <c r="E230" s="67" t="s">
        <v>1222</v>
      </c>
      <c r="F230" s="67" t="s">
        <v>12</v>
      </c>
      <c r="G230" s="67" t="s">
        <v>1739</v>
      </c>
      <c r="H230" s="67" t="s">
        <v>1740</v>
      </c>
      <c r="I230" s="67" t="s">
        <v>161</v>
      </c>
      <c r="J230" s="67" t="s">
        <v>161</v>
      </c>
      <c r="K230" s="67" t="s">
        <v>161</v>
      </c>
      <c r="L230" s="67" t="s">
        <v>1741</v>
      </c>
      <c r="M230" s="67" t="s">
        <v>1742</v>
      </c>
      <c r="N230" s="67" t="s">
        <v>1742</v>
      </c>
      <c r="O230" s="67" t="s">
        <v>165</v>
      </c>
      <c r="P230" s="67" t="s">
        <v>1743</v>
      </c>
    </row>
    <row r="231" s="43" customFormat="1" customHeight="1" spans="1:16">
      <c r="A231" s="67" t="s">
        <v>1744</v>
      </c>
      <c r="B231" s="67">
        <v>72.7</v>
      </c>
      <c r="C231" s="67">
        <v>5</v>
      </c>
      <c r="D231" s="67" t="s">
        <v>1745</v>
      </c>
      <c r="E231" s="67" t="s">
        <v>1746</v>
      </c>
      <c r="F231" s="67" t="s">
        <v>12</v>
      </c>
      <c r="G231" s="67" t="s">
        <v>1747</v>
      </c>
      <c r="H231" s="67" t="s">
        <v>1748</v>
      </c>
      <c r="I231" s="67" t="s">
        <v>161</v>
      </c>
      <c r="J231" s="67" t="s">
        <v>161</v>
      </c>
      <c r="K231" s="67" t="s">
        <v>161</v>
      </c>
      <c r="L231" s="67" t="s">
        <v>1749</v>
      </c>
      <c r="M231" s="67" t="s">
        <v>1750</v>
      </c>
      <c r="N231" s="67" t="s">
        <v>1750</v>
      </c>
      <c r="O231" s="67" t="s">
        <v>165</v>
      </c>
      <c r="P231" s="67" t="s">
        <v>1751</v>
      </c>
    </row>
    <row r="232" s="43" customFormat="1" customHeight="1" spans="1:16">
      <c r="A232" s="67" t="s">
        <v>1752</v>
      </c>
      <c r="B232" s="67">
        <v>35.7</v>
      </c>
      <c r="C232" s="67">
        <v>4</v>
      </c>
      <c r="D232" s="67" t="s">
        <v>1073</v>
      </c>
      <c r="E232" s="67" t="s">
        <v>1753</v>
      </c>
      <c r="F232" s="67" t="s">
        <v>12</v>
      </c>
      <c r="G232" s="67" t="s">
        <v>1754</v>
      </c>
      <c r="H232" s="67" t="s">
        <v>1755</v>
      </c>
      <c r="I232" s="67" t="s">
        <v>161</v>
      </c>
      <c r="J232" s="67" t="s">
        <v>161</v>
      </c>
      <c r="K232" s="67" t="s">
        <v>1756</v>
      </c>
      <c r="L232" s="67" t="s">
        <v>1757</v>
      </c>
      <c r="M232" s="67" t="s">
        <v>1758</v>
      </c>
      <c r="N232" s="67" t="s">
        <v>1758</v>
      </c>
      <c r="O232" s="67" t="s">
        <v>165</v>
      </c>
      <c r="P232" s="67" t="s">
        <v>1759</v>
      </c>
    </row>
    <row r="233" s="43" customFormat="1" customHeight="1" spans="1:16">
      <c r="A233" s="67" t="s">
        <v>1760</v>
      </c>
      <c r="B233" s="67">
        <v>78.99</v>
      </c>
      <c r="C233" s="67">
        <v>8</v>
      </c>
      <c r="D233" s="67" t="s">
        <v>1761</v>
      </c>
      <c r="E233" s="67" t="s">
        <v>1762</v>
      </c>
      <c r="F233" s="67" t="s">
        <v>12</v>
      </c>
      <c r="G233" s="67" t="s">
        <v>1763</v>
      </c>
      <c r="H233" s="67" t="s">
        <v>1764</v>
      </c>
      <c r="I233" s="67" t="s">
        <v>161</v>
      </c>
      <c r="J233" s="67" t="s">
        <v>1765</v>
      </c>
      <c r="K233" s="67" t="s">
        <v>161</v>
      </c>
      <c r="L233" s="67" t="s">
        <v>1766</v>
      </c>
      <c r="M233" s="67" t="s">
        <v>1767</v>
      </c>
      <c r="N233" s="67" t="s">
        <v>1767</v>
      </c>
      <c r="O233" s="67" t="s">
        <v>165</v>
      </c>
      <c r="P233" s="67" t="s">
        <v>1768</v>
      </c>
    </row>
    <row r="234" s="43" customFormat="1" customHeight="1" spans="1:16">
      <c r="A234" s="67" t="s">
        <v>1769</v>
      </c>
      <c r="B234" s="67">
        <v>33.33</v>
      </c>
      <c r="C234" s="67">
        <v>3</v>
      </c>
      <c r="D234" s="67" t="s">
        <v>246</v>
      </c>
      <c r="E234" s="67" t="s">
        <v>247</v>
      </c>
      <c r="F234" s="67" t="s">
        <v>98</v>
      </c>
      <c r="G234" s="67" t="s">
        <v>1770</v>
      </c>
      <c r="H234" s="67" t="s">
        <v>1771</v>
      </c>
      <c r="I234" s="67" t="s">
        <v>161</v>
      </c>
      <c r="J234" s="67" t="s">
        <v>1772</v>
      </c>
      <c r="K234" s="67" t="s">
        <v>1773</v>
      </c>
      <c r="L234" s="67" t="s">
        <v>1774</v>
      </c>
      <c r="M234" s="67" t="s">
        <v>1775</v>
      </c>
      <c r="N234" s="67" t="s">
        <v>1775</v>
      </c>
      <c r="O234" s="67" t="s">
        <v>165</v>
      </c>
      <c r="P234" s="67" t="s">
        <v>1776</v>
      </c>
    </row>
    <row r="235" s="43" customFormat="1" customHeight="1" spans="1:16">
      <c r="A235" s="67" t="s">
        <v>1777</v>
      </c>
      <c r="B235" s="67">
        <v>21.79</v>
      </c>
      <c r="C235" s="67">
        <v>3</v>
      </c>
      <c r="D235" s="67" t="s">
        <v>1778</v>
      </c>
      <c r="E235" s="67" t="s">
        <v>1779</v>
      </c>
      <c r="F235" s="67" t="s">
        <v>12</v>
      </c>
      <c r="G235" s="67" t="s">
        <v>1780</v>
      </c>
      <c r="H235" s="67" t="s">
        <v>1781</v>
      </c>
      <c r="I235" s="67" t="s">
        <v>161</v>
      </c>
      <c r="J235" s="67" t="s">
        <v>161</v>
      </c>
      <c r="K235" s="67" t="s">
        <v>161</v>
      </c>
      <c r="L235" s="67" t="s">
        <v>1782</v>
      </c>
      <c r="M235" s="67" t="s">
        <v>1783</v>
      </c>
      <c r="N235" s="67" t="s">
        <v>1783</v>
      </c>
      <c r="O235" s="67" t="s">
        <v>165</v>
      </c>
      <c r="P235" s="67" t="s">
        <v>1784</v>
      </c>
    </row>
    <row r="236" s="43" customFormat="1" hidden="1" customHeight="1" spans="1:16">
      <c r="A236" s="67" t="s">
        <v>1777</v>
      </c>
      <c r="B236" s="67">
        <v>13.9</v>
      </c>
      <c r="C236" s="67">
        <v>1</v>
      </c>
      <c r="D236" s="67" t="s">
        <v>1785</v>
      </c>
      <c r="E236" s="67" t="s">
        <v>1786</v>
      </c>
      <c r="F236" s="67" t="s">
        <v>12</v>
      </c>
      <c r="G236" s="67" t="s">
        <v>1780</v>
      </c>
      <c r="H236" s="67" t="s">
        <v>1787</v>
      </c>
      <c r="I236" s="67" t="s">
        <v>161</v>
      </c>
      <c r="J236" s="67" t="s">
        <v>649</v>
      </c>
      <c r="K236" s="67" t="s">
        <v>161</v>
      </c>
      <c r="L236" s="67" t="s">
        <v>1782</v>
      </c>
      <c r="M236" s="67" t="s">
        <v>1788</v>
      </c>
      <c r="N236" s="67" t="s">
        <v>1788</v>
      </c>
      <c r="O236" s="67" t="s">
        <v>165</v>
      </c>
      <c r="P236" s="67" t="s">
        <v>1789</v>
      </c>
    </row>
    <row r="237" s="43" customFormat="1" customHeight="1" spans="1:16">
      <c r="A237" s="67" t="s">
        <v>1790</v>
      </c>
      <c r="B237" s="67">
        <v>26.89</v>
      </c>
      <c r="C237" s="67">
        <v>2</v>
      </c>
      <c r="D237" s="67" t="s">
        <v>232</v>
      </c>
      <c r="E237" s="67" t="s">
        <v>233</v>
      </c>
      <c r="F237" s="67" t="s">
        <v>12</v>
      </c>
      <c r="G237" s="67" t="s">
        <v>1791</v>
      </c>
      <c r="H237" s="67" t="s">
        <v>1792</v>
      </c>
      <c r="I237" s="67" t="s">
        <v>161</v>
      </c>
      <c r="J237" s="67" t="s">
        <v>161</v>
      </c>
      <c r="K237" s="67" t="s">
        <v>161</v>
      </c>
      <c r="L237" s="67" t="s">
        <v>1793</v>
      </c>
      <c r="M237" s="67" t="s">
        <v>1794</v>
      </c>
      <c r="N237" s="67" t="s">
        <v>1794</v>
      </c>
      <c r="O237" s="67" t="s">
        <v>165</v>
      </c>
      <c r="P237" s="67" t="s">
        <v>1795</v>
      </c>
    </row>
    <row r="238" s="43" customFormat="1" customHeight="1" spans="1:16">
      <c r="A238" s="67" t="s">
        <v>1796</v>
      </c>
      <c r="B238" s="67">
        <v>47.8</v>
      </c>
      <c r="C238" s="67">
        <v>3</v>
      </c>
      <c r="D238" s="67" t="s">
        <v>1797</v>
      </c>
      <c r="E238" s="67" t="s">
        <v>1798</v>
      </c>
      <c r="F238" s="67" t="s">
        <v>12</v>
      </c>
      <c r="G238" s="67" t="s">
        <v>1799</v>
      </c>
      <c r="H238" s="67" t="s">
        <v>1800</v>
      </c>
      <c r="I238" s="67" t="s">
        <v>161</v>
      </c>
      <c r="J238" s="67" t="s">
        <v>161</v>
      </c>
      <c r="K238" s="67" t="s">
        <v>161</v>
      </c>
      <c r="L238" s="67" t="s">
        <v>1801</v>
      </c>
      <c r="M238" s="67" t="s">
        <v>1802</v>
      </c>
      <c r="N238" s="67" t="s">
        <v>1802</v>
      </c>
      <c r="O238" s="67" t="s">
        <v>165</v>
      </c>
      <c r="P238" s="67" t="s">
        <v>1803</v>
      </c>
    </row>
    <row r="239" s="43" customFormat="1" hidden="1" customHeight="1" spans="1:16">
      <c r="A239" s="67" t="s">
        <v>1796</v>
      </c>
      <c r="B239" s="67">
        <v>23.9</v>
      </c>
      <c r="C239" s="67">
        <v>1</v>
      </c>
      <c r="D239" s="67" t="s">
        <v>1804</v>
      </c>
      <c r="E239" s="67" t="s">
        <v>1805</v>
      </c>
      <c r="F239" s="67" t="s">
        <v>12</v>
      </c>
      <c r="G239" s="67" t="s">
        <v>1799</v>
      </c>
      <c r="H239" s="67" t="s">
        <v>1806</v>
      </c>
      <c r="I239" s="67" t="s">
        <v>161</v>
      </c>
      <c r="J239" s="67" t="s">
        <v>1807</v>
      </c>
      <c r="K239" s="67" t="s">
        <v>161</v>
      </c>
      <c r="L239" s="67" t="s">
        <v>1801</v>
      </c>
      <c r="M239" s="67" t="s">
        <v>1808</v>
      </c>
      <c r="N239" s="67" t="s">
        <v>1808</v>
      </c>
      <c r="O239" s="67" t="s">
        <v>165</v>
      </c>
      <c r="P239" s="67" t="s">
        <v>1789</v>
      </c>
    </row>
    <row r="240" s="43" customFormat="1" customHeight="1" spans="1:16">
      <c r="A240" s="67" t="s">
        <v>1809</v>
      </c>
      <c r="B240" s="67">
        <v>11.89</v>
      </c>
      <c r="C240" s="67">
        <v>1</v>
      </c>
      <c r="D240" s="67" t="s">
        <v>1214</v>
      </c>
      <c r="E240" s="67" t="s">
        <v>1143</v>
      </c>
      <c r="F240" s="67" t="s">
        <v>12</v>
      </c>
      <c r="G240" s="67" t="s">
        <v>1810</v>
      </c>
      <c r="H240" s="67" t="s">
        <v>1811</v>
      </c>
      <c r="I240" s="67" t="s">
        <v>161</v>
      </c>
      <c r="J240" s="67" t="s">
        <v>161</v>
      </c>
      <c r="K240" s="67" t="s">
        <v>1812</v>
      </c>
      <c r="L240" s="67" t="s">
        <v>1813</v>
      </c>
      <c r="M240" s="67" t="s">
        <v>1814</v>
      </c>
      <c r="N240" s="67" t="s">
        <v>1814</v>
      </c>
      <c r="O240" s="67" t="s">
        <v>165</v>
      </c>
      <c r="P240" s="67" t="s">
        <v>1815</v>
      </c>
    </row>
    <row r="241" s="43" customFormat="1" customHeight="1" spans="1:16">
      <c r="A241" s="67" t="s">
        <v>1816</v>
      </c>
      <c r="B241" s="67">
        <v>26.89</v>
      </c>
      <c r="C241" s="67">
        <v>2</v>
      </c>
      <c r="D241" s="67" t="s">
        <v>364</v>
      </c>
      <c r="E241" s="67" t="s">
        <v>1817</v>
      </c>
      <c r="F241" s="67" t="s">
        <v>12</v>
      </c>
      <c r="G241" s="67" t="s">
        <v>1818</v>
      </c>
      <c r="H241" s="67" t="s">
        <v>1819</v>
      </c>
      <c r="I241" s="67" t="s">
        <v>161</v>
      </c>
      <c r="J241" s="67" t="s">
        <v>161</v>
      </c>
      <c r="K241" s="67" t="s">
        <v>161</v>
      </c>
      <c r="L241" s="67" t="s">
        <v>1820</v>
      </c>
      <c r="M241" s="67" t="s">
        <v>1821</v>
      </c>
      <c r="N241" s="67" t="s">
        <v>1821</v>
      </c>
      <c r="O241" s="67" t="s">
        <v>165</v>
      </c>
      <c r="P241" s="67" t="s">
        <v>1822</v>
      </c>
    </row>
    <row r="242" s="43" customFormat="1" customHeight="1" spans="1:16">
      <c r="A242" s="67" t="s">
        <v>1823</v>
      </c>
      <c r="B242" s="67">
        <v>26.89</v>
      </c>
      <c r="C242" s="67">
        <v>2</v>
      </c>
      <c r="D242" s="67" t="s">
        <v>356</v>
      </c>
      <c r="E242" s="67" t="s">
        <v>357</v>
      </c>
      <c r="F242" s="67" t="s">
        <v>12</v>
      </c>
      <c r="G242" s="67" t="s">
        <v>1824</v>
      </c>
      <c r="H242" s="67" t="s">
        <v>1825</v>
      </c>
      <c r="I242" s="67" t="s">
        <v>161</v>
      </c>
      <c r="J242" s="67" t="s">
        <v>161</v>
      </c>
      <c r="K242" s="67" t="s">
        <v>161</v>
      </c>
      <c r="L242" s="67" t="s">
        <v>1826</v>
      </c>
      <c r="M242" s="67" t="s">
        <v>1827</v>
      </c>
      <c r="N242" s="67" t="s">
        <v>1827</v>
      </c>
      <c r="O242" s="67" t="s">
        <v>165</v>
      </c>
      <c r="P242" s="67" t="s">
        <v>1828</v>
      </c>
    </row>
    <row r="243" s="43" customFormat="1" customHeight="1" spans="1:16">
      <c r="A243" s="67" t="s">
        <v>1829</v>
      </c>
      <c r="B243" s="67">
        <v>30.8</v>
      </c>
      <c r="C243" s="67">
        <v>3</v>
      </c>
      <c r="D243" s="67" t="s">
        <v>1830</v>
      </c>
      <c r="E243" s="67" t="s">
        <v>1831</v>
      </c>
      <c r="F243" s="67" t="s">
        <v>78</v>
      </c>
      <c r="G243" s="67" t="s">
        <v>1832</v>
      </c>
      <c r="H243" s="67" t="s">
        <v>1833</v>
      </c>
      <c r="I243" s="67" t="s">
        <v>161</v>
      </c>
      <c r="J243" s="67" t="s">
        <v>161</v>
      </c>
      <c r="K243" s="67" t="s">
        <v>1834</v>
      </c>
      <c r="L243" s="67" t="s">
        <v>1835</v>
      </c>
      <c r="M243" s="67" t="s">
        <v>1836</v>
      </c>
      <c r="N243" s="67" t="s">
        <v>1836</v>
      </c>
      <c r="O243" s="67" t="s">
        <v>165</v>
      </c>
      <c r="P243" s="67" t="s">
        <v>1837</v>
      </c>
    </row>
    <row r="244" s="43" customFormat="1" customHeight="1" spans="1:16">
      <c r="A244" s="67" t="s">
        <v>1838</v>
      </c>
      <c r="B244" s="67">
        <v>66.6</v>
      </c>
      <c r="C244" s="67">
        <v>7</v>
      </c>
      <c r="D244" s="67" t="s">
        <v>1839</v>
      </c>
      <c r="E244" s="67" t="s">
        <v>1840</v>
      </c>
      <c r="F244" s="67" t="s">
        <v>12</v>
      </c>
      <c r="G244" s="67" t="s">
        <v>1841</v>
      </c>
      <c r="H244" s="67" t="s">
        <v>1842</v>
      </c>
      <c r="I244" s="67" t="s">
        <v>161</v>
      </c>
      <c r="J244" s="67" t="s">
        <v>161</v>
      </c>
      <c r="K244" s="67" t="s">
        <v>1843</v>
      </c>
      <c r="L244" s="67" t="s">
        <v>1844</v>
      </c>
      <c r="M244" s="67" t="s">
        <v>1845</v>
      </c>
      <c r="N244" s="67" t="s">
        <v>1845</v>
      </c>
      <c r="O244" s="67" t="s">
        <v>165</v>
      </c>
      <c r="P244" s="67" t="s">
        <v>1846</v>
      </c>
    </row>
    <row r="245" s="43" customFormat="1" customHeight="1" spans="1:16">
      <c r="A245" s="67" t="s">
        <v>1847</v>
      </c>
      <c r="B245" s="67">
        <v>47.44</v>
      </c>
      <c r="C245" s="67">
        <v>5</v>
      </c>
      <c r="D245" s="67" t="s">
        <v>1848</v>
      </c>
      <c r="E245" s="67" t="s">
        <v>1849</v>
      </c>
      <c r="F245" s="67" t="s">
        <v>12</v>
      </c>
      <c r="G245" s="67" t="s">
        <v>1850</v>
      </c>
      <c r="H245" s="67" t="s">
        <v>1851</v>
      </c>
      <c r="I245" s="67" t="s">
        <v>161</v>
      </c>
      <c r="J245" s="67" t="s">
        <v>161</v>
      </c>
      <c r="K245" s="67" t="s">
        <v>161</v>
      </c>
      <c r="L245" s="67" t="s">
        <v>1852</v>
      </c>
      <c r="M245" s="67" t="s">
        <v>1853</v>
      </c>
      <c r="N245" s="67" t="s">
        <v>1853</v>
      </c>
      <c r="O245" s="67" t="s">
        <v>165</v>
      </c>
      <c r="P245" s="67" t="s">
        <v>1854</v>
      </c>
    </row>
    <row r="246" s="43" customFormat="1" customHeight="1" spans="1:16">
      <c r="A246" s="67" t="s">
        <v>1855</v>
      </c>
      <c r="B246" s="67">
        <v>11.89</v>
      </c>
      <c r="C246" s="67">
        <v>2</v>
      </c>
      <c r="D246" s="67" t="s">
        <v>1111</v>
      </c>
      <c r="E246" s="67" t="s">
        <v>1856</v>
      </c>
      <c r="F246" s="67" t="s">
        <v>12</v>
      </c>
      <c r="G246" s="67" t="s">
        <v>808</v>
      </c>
      <c r="H246" s="67" t="s">
        <v>1857</v>
      </c>
      <c r="I246" s="67" t="s">
        <v>161</v>
      </c>
      <c r="J246" s="67" t="s">
        <v>161</v>
      </c>
      <c r="K246" s="67" t="s">
        <v>161</v>
      </c>
      <c r="L246" s="67" t="s">
        <v>1858</v>
      </c>
      <c r="M246" s="67" t="s">
        <v>1859</v>
      </c>
      <c r="N246" s="67" t="s">
        <v>1859</v>
      </c>
      <c r="O246" s="67" t="s">
        <v>165</v>
      </c>
      <c r="P246" s="67" t="s">
        <v>1860</v>
      </c>
    </row>
    <row r="247" s="43" customFormat="1" customHeight="1" spans="1:16">
      <c r="A247" s="67" t="s">
        <v>1861</v>
      </c>
      <c r="B247" s="67">
        <v>18.91</v>
      </c>
      <c r="C247" s="67">
        <v>4</v>
      </c>
      <c r="D247" s="67" t="s">
        <v>1135</v>
      </c>
      <c r="E247" s="67" t="s">
        <v>1862</v>
      </c>
      <c r="F247" s="67" t="s">
        <v>12</v>
      </c>
      <c r="G247" s="67" t="s">
        <v>1863</v>
      </c>
      <c r="H247" s="67" t="s">
        <v>1864</v>
      </c>
      <c r="I247" s="67" t="s">
        <v>161</v>
      </c>
      <c r="J247" s="67" t="s">
        <v>161</v>
      </c>
      <c r="K247" s="67" t="s">
        <v>161</v>
      </c>
      <c r="L247" s="67" t="s">
        <v>1865</v>
      </c>
      <c r="M247" s="67" t="s">
        <v>1866</v>
      </c>
      <c r="N247" s="67" t="s">
        <v>1866</v>
      </c>
      <c r="O247" s="67" t="s">
        <v>165</v>
      </c>
      <c r="P247" s="67" t="s">
        <v>1867</v>
      </c>
    </row>
    <row r="248" s="43" customFormat="1" customHeight="1" spans="1:16">
      <c r="A248" s="67" t="s">
        <v>1868</v>
      </c>
      <c r="B248" s="67">
        <v>26.89</v>
      </c>
      <c r="C248" s="67">
        <v>2</v>
      </c>
      <c r="D248" s="67" t="s">
        <v>356</v>
      </c>
      <c r="E248" s="67" t="s">
        <v>357</v>
      </c>
      <c r="F248" s="67" t="s">
        <v>78</v>
      </c>
      <c r="G248" s="67" t="s">
        <v>1869</v>
      </c>
      <c r="H248" s="67" t="s">
        <v>1870</v>
      </c>
      <c r="I248" s="67" t="s">
        <v>161</v>
      </c>
      <c r="J248" s="67" t="s">
        <v>161</v>
      </c>
      <c r="K248" s="67" t="s">
        <v>161</v>
      </c>
      <c r="L248" s="67" t="s">
        <v>1871</v>
      </c>
      <c r="M248" s="67" t="s">
        <v>1872</v>
      </c>
      <c r="N248" s="67" t="s">
        <v>1872</v>
      </c>
      <c r="O248" s="67" t="s">
        <v>165</v>
      </c>
      <c r="P248" s="67" t="s">
        <v>1867</v>
      </c>
    </row>
    <row r="249" s="43" customFormat="1" customHeight="1" spans="1:16">
      <c r="A249" s="67" t="s">
        <v>1873</v>
      </c>
      <c r="B249" s="67">
        <v>30.85</v>
      </c>
      <c r="C249" s="67">
        <v>3</v>
      </c>
      <c r="D249" s="67" t="s">
        <v>246</v>
      </c>
      <c r="E249" s="67" t="s">
        <v>247</v>
      </c>
      <c r="F249" s="67" t="s">
        <v>12</v>
      </c>
      <c r="G249" s="67" t="s">
        <v>1874</v>
      </c>
      <c r="H249" s="67" t="s">
        <v>1875</v>
      </c>
      <c r="I249" s="67" t="s">
        <v>161</v>
      </c>
      <c r="J249" s="67" t="s">
        <v>161</v>
      </c>
      <c r="K249" s="67" t="s">
        <v>161</v>
      </c>
      <c r="L249" s="67" t="s">
        <v>1876</v>
      </c>
      <c r="M249" s="67" t="s">
        <v>1877</v>
      </c>
      <c r="N249" s="67" t="s">
        <v>1877</v>
      </c>
      <c r="O249" s="67" t="s">
        <v>165</v>
      </c>
      <c r="P249" s="67" t="s">
        <v>166</v>
      </c>
    </row>
    <row r="250" s="43" customFormat="1" customHeight="1" spans="1:16">
      <c r="A250" s="67" t="s">
        <v>1878</v>
      </c>
      <c r="B250" s="67">
        <v>26.89</v>
      </c>
      <c r="C250" s="67">
        <v>2</v>
      </c>
      <c r="D250" s="67" t="s">
        <v>232</v>
      </c>
      <c r="E250" s="67" t="s">
        <v>317</v>
      </c>
      <c r="F250" s="67" t="s">
        <v>12</v>
      </c>
      <c r="G250" s="67" t="s">
        <v>1879</v>
      </c>
      <c r="H250" s="67" t="s">
        <v>1880</v>
      </c>
      <c r="I250" s="67" t="s">
        <v>161</v>
      </c>
      <c r="J250" s="67" t="s">
        <v>161</v>
      </c>
      <c r="K250" s="67" t="s">
        <v>161</v>
      </c>
      <c r="L250" s="67" t="s">
        <v>1881</v>
      </c>
      <c r="M250" s="67" t="s">
        <v>1882</v>
      </c>
      <c r="N250" s="67" t="s">
        <v>1882</v>
      </c>
      <c r="O250" s="67" t="s">
        <v>165</v>
      </c>
      <c r="P250" s="67" t="s">
        <v>1883</v>
      </c>
    </row>
    <row r="251" s="43" customFormat="1" customHeight="1" spans="1:16">
      <c r="A251" s="67" t="s">
        <v>1884</v>
      </c>
      <c r="B251" s="67">
        <v>35.75</v>
      </c>
      <c r="C251" s="67">
        <v>4</v>
      </c>
      <c r="D251" s="67" t="s">
        <v>1885</v>
      </c>
      <c r="E251" s="67" t="s">
        <v>1886</v>
      </c>
      <c r="F251" s="67" t="s">
        <v>12</v>
      </c>
      <c r="G251" s="67" t="s">
        <v>1887</v>
      </c>
      <c r="H251" s="67" t="s">
        <v>1888</v>
      </c>
      <c r="I251" s="67" t="s">
        <v>161</v>
      </c>
      <c r="J251" s="67" t="s">
        <v>161</v>
      </c>
      <c r="K251" s="67" t="s">
        <v>161</v>
      </c>
      <c r="L251" s="67" t="s">
        <v>1889</v>
      </c>
      <c r="M251" s="67" t="s">
        <v>1890</v>
      </c>
      <c r="N251" s="67" t="s">
        <v>1890</v>
      </c>
      <c r="O251" s="67" t="s">
        <v>165</v>
      </c>
      <c r="P251" s="67" t="s">
        <v>1891</v>
      </c>
    </row>
    <row r="252" s="43" customFormat="1" customHeight="1" spans="1:16">
      <c r="A252" s="67" t="s">
        <v>1892</v>
      </c>
      <c r="B252" s="67">
        <v>26.89</v>
      </c>
      <c r="C252" s="67">
        <v>2</v>
      </c>
      <c r="D252" s="67" t="s">
        <v>232</v>
      </c>
      <c r="E252" s="67" t="s">
        <v>317</v>
      </c>
      <c r="F252" s="67" t="s">
        <v>12</v>
      </c>
      <c r="G252" s="67" t="s">
        <v>1893</v>
      </c>
      <c r="H252" s="67" t="s">
        <v>1894</v>
      </c>
      <c r="I252" s="67" t="s">
        <v>161</v>
      </c>
      <c r="J252" s="67" t="s">
        <v>161</v>
      </c>
      <c r="K252" s="67" t="s">
        <v>161</v>
      </c>
      <c r="L252" s="67" t="s">
        <v>1895</v>
      </c>
      <c r="M252" s="67" t="s">
        <v>1896</v>
      </c>
      <c r="N252" s="67" t="s">
        <v>1896</v>
      </c>
      <c r="O252" s="67" t="s">
        <v>165</v>
      </c>
      <c r="P252" s="67" t="s">
        <v>1897</v>
      </c>
    </row>
    <row r="253" s="43" customFormat="1" hidden="1" customHeight="1" spans="1:16">
      <c r="A253" s="67" t="s">
        <v>1892</v>
      </c>
      <c r="B253" s="67">
        <v>0</v>
      </c>
      <c r="C253" s="67">
        <v>1</v>
      </c>
      <c r="D253" s="67" t="s">
        <v>1538</v>
      </c>
      <c r="E253" s="67" t="s">
        <v>161</v>
      </c>
      <c r="F253" s="67" t="s">
        <v>12</v>
      </c>
      <c r="G253" s="67" t="s">
        <v>1893</v>
      </c>
      <c r="H253" s="67" t="s">
        <v>1898</v>
      </c>
      <c r="I253" s="67" t="s">
        <v>161</v>
      </c>
      <c r="J253" s="67" t="s">
        <v>649</v>
      </c>
      <c r="K253" s="67" t="s">
        <v>161</v>
      </c>
      <c r="L253" s="67" t="s">
        <v>1895</v>
      </c>
      <c r="M253" s="67" t="s">
        <v>1899</v>
      </c>
      <c r="N253" s="67" t="s">
        <v>1899</v>
      </c>
      <c r="O253" s="67" t="s">
        <v>165</v>
      </c>
      <c r="P253" s="67" t="s">
        <v>1900</v>
      </c>
    </row>
    <row r="254" s="43" customFormat="1" customHeight="1" spans="1:16">
      <c r="A254" s="67" t="s">
        <v>1901</v>
      </c>
      <c r="B254" s="67">
        <v>42.7</v>
      </c>
      <c r="C254" s="67">
        <v>4</v>
      </c>
      <c r="D254" s="67" t="s">
        <v>1902</v>
      </c>
      <c r="E254" s="67" t="s">
        <v>1903</v>
      </c>
      <c r="F254" s="67" t="s">
        <v>12</v>
      </c>
      <c r="G254" s="67" t="s">
        <v>1904</v>
      </c>
      <c r="H254" s="67" t="s">
        <v>1905</v>
      </c>
      <c r="I254" s="67" t="s">
        <v>161</v>
      </c>
      <c r="J254" s="67" t="s">
        <v>161</v>
      </c>
      <c r="K254" s="67" t="s">
        <v>161</v>
      </c>
      <c r="L254" s="67" t="s">
        <v>1906</v>
      </c>
      <c r="M254" s="67" t="s">
        <v>1907</v>
      </c>
      <c r="N254" s="67" t="s">
        <v>1907</v>
      </c>
      <c r="O254" s="67" t="s">
        <v>165</v>
      </c>
      <c r="P254" s="67" t="s">
        <v>1908</v>
      </c>
    </row>
    <row r="255" s="43" customFormat="1" customHeight="1" spans="1:16">
      <c r="A255" s="67" t="s">
        <v>1909</v>
      </c>
      <c r="B255" s="67">
        <v>32.41</v>
      </c>
      <c r="C255" s="67">
        <v>2</v>
      </c>
      <c r="D255" s="67" t="s">
        <v>1910</v>
      </c>
      <c r="E255" s="67" t="s">
        <v>1911</v>
      </c>
      <c r="F255" s="67" t="s">
        <v>90</v>
      </c>
      <c r="G255" s="67" t="s">
        <v>1912</v>
      </c>
      <c r="H255" s="67" t="s">
        <v>1913</v>
      </c>
      <c r="I255" s="67" t="s">
        <v>161</v>
      </c>
      <c r="J255" s="67" t="s">
        <v>161</v>
      </c>
      <c r="K255" s="67" t="s">
        <v>161</v>
      </c>
      <c r="L255" s="67" t="s">
        <v>1914</v>
      </c>
      <c r="M255" s="67" t="s">
        <v>1915</v>
      </c>
      <c r="N255" s="67" t="s">
        <v>1915</v>
      </c>
      <c r="O255" s="67" t="s">
        <v>165</v>
      </c>
      <c r="P255" s="67" t="s">
        <v>1916</v>
      </c>
    </row>
    <row r="256" s="43" customFormat="1" customHeight="1" spans="1:16">
      <c r="A256" s="67" t="s">
        <v>1917</v>
      </c>
      <c r="B256" s="67">
        <v>21.79</v>
      </c>
      <c r="C256" s="67">
        <v>3</v>
      </c>
      <c r="D256" s="67" t="s">
        <v>1778</v>
      </c>
      <c r="E256" s="67" t="s">
        <v>1918</v>
      </c>
      <c r="F256" s="67" t="s">
        <v>12</v>
      </c>
      <c r="G256" s="67" t="s">
        <v>1919</v>
      </c>
      <c r="H256" s="67" t="s">
        <v>1920</v>
      </c>
      <c r="I256" s="67" t="s">
        <v>161</v>
      </c>
      <c r="J256" s="67" t="s">
        <v>161</v>
      </c>
      <c r="K256" s="67" t="s">
        <v>161</v>
      </c>
      <c r="L256" s="67" t="s">
        <v>1921</v>
      </c>
      <c r="M256" s="67" t="s">
        <v>1922</v>
      </c>
      <c r="N256" s="67" t="s">
        <v>1922</v>
      </c>
      <c r="O256" s="67" t="s">
        <v>165</v>
      </c>
      <c r="P256" s="67" t="s">
        <v>1923</v>
      </c>
    </row>
    <row r="257" s="43" customFormat="1" customHeight="1" spans="1:16">
      <c r="A257" s="67" t="s">
        <v>1924</v>
      </c>
      <c r="B257" s="67">
        <v>32.7</v>
      </c>
      <c r="C257" s="67">
        <v>4</v>
      </c>
      <c r="D257" s="67" t="s">
        <v>1925</v>
      </c>
      <c r="E257" s="67" t="s">
        <v>1926</v>
      </c>
      <c r="F257" s="67" t="s">
        <v>12</v>
      </c>
      <c r="G257" s="67" t="s">
        <v>1927</v>
      </c>
      <c r="H257" s="67" t="s">
        <v>1928</v>
      </c>
      <c r="I257" s="67" t="s">
        <v>161</v>
      </c>
      <c r="J257" s="67" t="s">
        <v>161</v>
      </c>
      <c r="K257" s="67" t="s">
        <v>161</v>
      </c>
      <c r="L257" s="67" t="s">
        <v>1929</v>
      </c>
      <c r="M257" s="67" t="s">
        <v>1930</v>
      </c>
      <c r="N257" s="67" t="s">
        <v>1930</v>
      </c>
      <c r="O257" s="67" t="s">
        <v>165</v>
      </c>
      <c r="P257" s="67" t="s">
        <v>1931</v>
      </c>
    </row>
    <row r="258" s="43" customFormat="1" customHeight="1" spans="1:16">
      <c r="A258" s="67" t="s">
        <v>1932</v>
      </c>
      <c r="B258" s="67">
        <v>42.65</v>
      </c>
      <c r="C258" s="67">
        <v>5</v>
      </c>
      <c r="D258" s="67" t="s">
        <v>1933</v>
      </c>
      <c r="E258" s="67" t="s">
        <v>1934</v>
      </c>
      <c r="F258" s="67" t="s">
        <v>12</v>
      </c>
      <c r="G258" s="67" t="s">
        <v>1935</v>
      </c>
      <c r="H258" s="67" t="s">
        <v>1936</v>
      </c>
      <c r="I258" s="67" t="s">
        <v>161</v>
      </c>
      <c r="J258" s="67" t="s">
        <v>161</v>
      </c>
      <c r="K258" s="67" t="s">
        <v>161</v>
      </c>
      <c r="L258" s="67" t="s">
        <v>1937</v>
      </c>
      <c r="M258" s="67" t="s">
        <v>1938</v>
      </c>
      <c r="N258" s="67" t="s">
        <v>1938</v>
      </c>
      <c r="O258" s="67" t="s">
        <v>165</v>
      </c>
      <c r="P258" s="67" t="s">
        <v>1939</v>
      </c>
    </row>
    <row r="259" s="43" customFormat="1" customHeight="1" spans="1:16">
      <c r="A259" s="67" t="s">
        <v>1940</v>
      </c>
      <c r="B259" s="67">
        <v>26.89</v>
      </c>
      <c r="C259" s="67">
        <v>2</v>
      </c>
      <c r="D259" s="67" t="s">
        <v>356</v>
      </c>
      <c r="E259" s="67" t="s">
        <v>357</v>
      </c>
      <c r="F259" s="67" t="s">
        <v>12</v>
      </c>
      <c r="G259" s="67" t="s">
        <v>1941</v>
      </c>
      <c r="H259" s="67" t="s">
        <v>1942</v>
      </c>
      <c r="I259" s="67" t="s">
        <v>161</v>
      </c>
      <c r="J259" s="67" t="s">
        <v>161</v>
      </c>
      <c r="K259" s="67" t="s">
        <v>161</v>
      </c>
      <c r="L259" s="67" t="s">
        <v>1943</v>
      </c>
      <c r="M259" s="67" t="s">
        <v>1944</v>
      </c>
      <c r="N259" s="67" t="s">
        <v>1944</v>
      </c>
      <c r="O259" s="67" t="s">
        <v>165</v>
      </c>
      <c r="P259" s="67" t="s">
        <v>1945</v>
      </c>
    </row>
    <row r="260" s="43" customFormat="1" customHeight="1" spans="1:16">
      <c r="A260" s="67" t="s">
        <v>1946</v>
      </c>
      <c r="B260" s="67">
        <v>26.89</v>
      </c>
      <c r="C260" s="67">
        <v>2</v>
      </c>
      <c r="D260" s="67" t="s">
        <v>356</v>
      </c>
      <c r="E260" s="67" t="s">
        <v>357</v>
      </c>
      <c r="F260" s="67" t="s">
        <v>12</v>
      </c>
      <c r="G260" s="67" t="s">
        <v>1947</v>
      </c>
      <c r="H260" s="67" t="s">
        <v>1948</v>
      </c>
      <c r="I260" s="67" t="s">
        <v>161</v>
      </c>
      <c r="J260" s="67" t="s">
        <v>161</v>
      </c>
      <c r="K260" s="67" t="s">
        <v>161</v>
      </c>
      <c r="L260" s="67" t="s">
        <v>1949</v>
      </c>
      <c r="M260" s="67" t="s">
        <v>1950</v>
      </c>
      <c r="N260" s="67" t="s">
        <v>1950</v>
      </c>
      <c r="O260" s="67" t="s">
        <v>165</v>
      </c>
      <c r="P260" s="67" t="s">
        <v>1951</v>
      </c>
    </row>
    <row r="261" s="43" customFormat="1" customHeight="1" spans="1:16">
      <c r="A261" s="67" t="s">
        <v>1952</v>
      </c>
      <c r="B261" s="67">
        <v>40.6</v>
      </c>
      <c r="C261" s="67">
        <v>5</v>
      </c>
      <c r="D261" s="67" t="s">
        <v>1953</v>
      </c>
      <c r="E261" s="67" t="s">
        <v>1954</v>
      </c>
      <c r="F261" s="67" t="s">
        <v>12</v>
      </c>
      <c r="G261" s="67" t="s">
        <v>1955</v>
      </c>
      <c r="H261" s="67" t="s">
        <v>1956</v>
      </c>
      <c r="I261" s="67" t="s">
        <v>161</v>
      </c>
      <c r="J261" s="67" t="s">
        <v>161</v>
      </c>
      <c r="K261" s="67" t="s">
        <v>1957</v>
      </c>
      <c r="L261" s="67" t="s">
        <v>1958</v>
      </c>
      <c r="M261" s="67" t="s">
        <v>1959</v>
      </c>
      <c r="N261" s="67" t="s">
        <v>1959</v>
      </c>
      <c r="O261" s="67" t="s">
        <v>165</v>
      </c>
      <c r="P261" s="67" t="s">
        <v>1960</v>
      </c>
    </row>
    <row r="262" s="43" customFormat="1" customHeight="1" spans="1:16">
      <c r="A262" s="67" t="s">
        <v>1961</v>
      </c>
      <c r="B262" s="67">
        <v>99.25</v>
      </c>
      <c r="C262" s="67">
        <v>10</v>
      </c>
      <c r="D262" s="67" t="s">
        <v>1962</v>
      </c>
      <c r="E262" s="67" t="s">
        <v>1963</v>
      </c>
      <c r="F262" s="67" t="s">
        <v>12</v>
      </c>
      <c r="G262" s="67" t="s">
        <v>1964</v>
      </c>
      <c r="H262" s="67" t="s">
        <v>1965</v>
      </c>
      <c r="I262" s="67" t="s">
        <v>161</v>
      </c>
      <c r="J262" s="67" t="s">
        <v>161</v>
      </c>
      <c r="K262" s="67" t="s">
        <v>161</v>
      </c>
      <c r="L262" s="67" t="s">
        <v>1966</v>
      </c>
      <c r="M262" s="67" t="s">
        <v>1967</v>
      </c>
      <c r="N262" s="67" t="s">
        <v>1967</v>
      </c>
      <c r="O262" s="67" t="s">
        <v>165</v>
      </c>
      <c r="P262" s="67" t="s">
        <v>1968</v>
      </c>
    </row>
    <row r="263" s="43" customFormat="1" customHeight="1" spans="1:16">
      <c r="A263" s="67" t="s">
        <v>1969</v>
      </c>
      <c r="B263" s="67">
        <v>47.55</v>
      </c>
      <c r="C263" s="67">
        <v>6</v>
      </c>
      <c r="D263" s="67" t="s">
        <v>1970</v>
      </c>
      <c r="E263" s="67" t="s">
        <v>1971</v>
      </c>
      <c r="F263" s="67" t="s">
        <v>12</v>
      </c>
      <c r="G263" s="67" t="s">
        <v>1972</v>
      </c>
      <c r="H263" s="67" t="s">
        <v>1973</v>
      </c>
      <c r="I263" s="67" t="s">
        <v>161</v>
      </c>
      <c r="J263" s="67" t="s">
        <v>161</v>
      </c>
      <c r="K263" s="67" t="s">
        <v>161</v>
      </c>
      <c r="L263" s="67" t="s">
        <v>1974</v>
      </c>
      <c r="M263" s="67" t="s">
        <v>1975</v>
      </c>
      <c r="N263" s="67" t="s">
        <v>1975</v>
      </c>
      <c r="O263" s="67" t="s">
        <v>165</v>
      </c>
      <c r="P263" s="67" t="s">
        <v>1976</v>
      </c>
    </row>
    <row r="264" s="43" customFormat="1" customHeight="1" spans="1:16">
      <c r="A264" s="67" t="s">
        <v>1977</v>
      </c>
      <c r="B264" s="67">
        <v>19.74</v>
      </c>
      <c r="C264" s="67">
        <v>4</v>
      </c>
      <c r="D264" s="67" t="s">
        <v>1978</v>
      </c>
      <c r="E264" s="67" t="s">
        <v>1979</v>
      </c>
      <c r="F264" s="67" t="s">
        <v>12</v>
      </c>
      <c r="G264" s="67" t="s">
        <v>1980</v>
      </c>
      <c r="H264" s="67" t="s">
        <v>1981</v>
      </c>
      <c r="I264" s="67" t="s">
        <v>161</v>
      </c>
      <c r="J264" s="67" t="s">
        <v>161</v>
      </c>
      <c r="K264" s="67" t="s">
        <v>161</v>
      </c>
      <c r="L264" s="67" t="s">
        <v>1982</v>
      </c>
      <c r="M264" s="67" t="s">
        <v>1983</v>
      </c>
      <c r="N264" s="67" t="s">
        <v>1983</v>
      </c>
      <c r="O264" s="67" t="s">
        <v>165</v>
      </c>
      <c r="P264" s="67" t="s">
        <v>1984</v>
      </c>
    </row>
    <row r="265" s="43" customFormat="1" customHeight="1" spans="1:16">
      <c r="A265" s="67" t="s">
        <v>1985</v>
      </c>
      <c r="B265" s="67">
        <v>26.89</v>
      </c>
      <c r="C265" s="67">
        <v>2</v>
      </c>
      <c r="D265" s="67" t="s">
        <v>232</v>
      </c>
      <c r="E265" s="67" t="s">
        <v>317</v>
      </c>
      <c r="F265" s="67" t="s">
        <v>12</v>
      </c>
      <c r="G265" s="67" t="s">
        <v>1986</v>
      </c>
      <c r="H265" s="67" t="s">
        <v>1987</v>
      </c>
      <c r="I265" s="67" t="s">
        <v>161</v>
      </c>
      <c r="J265" s="67" t="s">
        <v>161</v>
      </c>
      <c r="K265" s="67" t="s">
        <v>161</v>
      </c>
      <c r="L265" s="67" t="s">
        <v>1988</v>
      </c>
      <c r="M265" s="67" t="s">
        <v>1989</v>
      </c>
      <c r="N265" s="67" t="s">
        <v>1989</v>
      </c>
      <c r="O265" s="67" t="s">
        <v>165</v>
      </c>
      <c r="P265" s="67" t="s">
        <v>1990</v>
      </c>
    </row>
    <row r="266" s="43" customFormat="1" customHeight="1" spans="1:16">
      <c r="A266" s="67" t="s">
        <v>1991</v>
      </c>
      <c r="B266" s="67">
        <v>35.7</v>
      </c>
      <c r="C266" s="67">
        <v>4</v>
      </c>
      <c r="D266" s="67" t="s">
        <v>1501</v>
      </c>
      <c r="E266" s="67" t="s">
        <v>1992</v>
      </c>
      <c r="F266" s="67" t="s">
        <v>12</v>
      </c>
      <c r="G266" s="67" t="s">
        <v>1993</v>
      </c>
      <c r="H266" s="67" t="s">
        <v>1994</v>
      </c>
      <c r="I266" s="67" t="s">
        <v>161</v>
      </c>
      <c r="J266" s="67" t="s">
        <v>161</v>
      </c>
      <c r="K266" s="67" t="s">
        <v>161</v>
      </c>
      <c r="L266" s="67" t="s">
        <v>1995</v>
      </c>
      <c r="M266" s="67" t="s">
        <v>1996</v>
      </c>
      <c r="N266" s="67" t="s">
        <v>1996</v>
      </c>
      <c r="O266" s="67" t="s">
        <v>165</v>
      </c>
      <c r="P266" s="67" t="s">
        <v>1997</v>
      </c>
    </row>
    <row r="267" s="43" customFormat="1" customHeight="1" spans="1:16">
      <c r="A267" s="67" t="s">
        <v>1998</v>
      </c>
      <c r="B267" s="67">
        <v>57.6</v>
      </c>
      <c r="C267" s="67">
        <v>6</v>
      </c>
      <c r="D267" s="67" t="s">
        <v>1999</v>
      </c>
      <c r="E267" s="67" t="s">
        <v>2000</v>
      </c>
      <c r="F267" s="67" t="s">
        <v>12</v>
      </c>
      <c r="G267" s="67" t="s">
        <v>2001</v>
      </c>
      <c r="H267" s="67" t="s">
        <v>2002</v>
      </c>
      <c r="I267" s="67" t="s">
        <v>161</v>
      </c>
      <c r="J267" s="67" t="s">
        <v>161</v>
      </c>
      <c r="K267" s="67" t="s">
        <v>2003</v>
      </c>
      <c r="L267" s="67" t="s">
        <v>2004</v>
      </c>
      <c r="M267" s="67" t="s">
        <v>2005</v>
      </c>
      <c r="N267" s="67" t="s">
        <v>2005</v>
      </c>
      <c r="O267" s="67" t="s">
        <v>165</v>
      </c>
      <c r="P267" s="67" t="s">
        <v>2006</v>
      </c>
    </row>
    <row r="268" s="43" customFormat="1" customHeight="1" spans="1:16">
      <c r="A268" s="67" t="s">
        <v>2007</v>
      </c>
      <c r="B268" s="67">
        <v>26.89</v>
      </c>
      <c r="C268" s="67">
        <v>2</v>
      </c>
      <c r="D268" s="67" t="s">
        <v>232</v>
      </c>
      <c r="E268" s="67" t="s">
        <v>254</v>
      </c>
      <c r="F268" s="67" t="s">
        <v>12</v>
      </c>
      <c r="G268" s="67" t="s">
        <v>2008</v>
      </c>
      <c r="H268" s="67" t="s">
        <v>2009</v>
      </c>
      <c r="I268" s="67" t="s">
        <v>161</v>
      </c>
      <c r="J268" s="67" t="s">
        <v>161</v>
      </c>
      <c r="K268" s="67" t="s">
        <v>161</v>
      </c>
      <c r="L268" s="67" t="s">
        <v>2010</v>
      </c>
      <c r="M268" s="67" t="s">
        <v>2011</v>
      </c>
      <c r="N268" s="67" t="s">
        <v>2011</v>
      </c>
      <c r="O268" s="67" t="s">
        <v>165</v>
      </c>
      <c r="P268" s="67" t="s">
        <v>2012</v>
      </c>
    </row>
    <row r="269" s="43" customFormat="1" customHeight="1" spans="1:16">
      <c r="A269" s="67" t="s">
        <v>2013</v>
      </c>
      <c r="B269" s="67">
        <v>40.6</v>
      </c>
      <c r="C269" s="67">
        <v>5</v>
      </c>
      <c r="D269" s="67" t="s">
        <v>2014</v>
      </c>
      <c r="E269" s="67" t="s">
        <v>2015</v>
      </c>
      <c r="F269" s="67" t="s">
        <v>12</v>
      </c>
      <c r="G269" s="67" t="s">
        <v>2016</v>
      </c>
      <c r="H269" s="67" t="s">
        <v>2017</v>
      </c>
      <c r="I269" s="67" t="s">
        <v>161</v>
      </c>
      <c r="J269" s="67" t="s">
        <v>161</v>
      </c>
      <c r="K269" s="67" t="s">
        <v>161</v>
      </c>
      <c r="L269" s="67" t="s">
        <v>2018</v>
      </c>
      <c r="M269" s="67" t="s">
        <v>2019</v>
      </c>
      <c r="N269" s="67" t="s">
        <v>2019</v>
      </c>
      <c r="O269" s="67" t="s">
        <v>165</v>
      </c>
      <c r="P269" s="67" t="s">
        <v>2020</v>
      </c>
    </row>
    <row r="270" s="43" customFormat="1" customHeight="1" spans="1:16">
      <c r="A270" s="67" t="s">
        <v>2021</v>
      </c>
      <c r="B270" s="67">
        <v>60.65</v>
      </c>
      <c r="C270" s="67">
        <v>5</v>
      </c>
      <c r="D270" s="67" t="s">
        <v>2022</v>
      </c>
      <c r="E270" s="67" t="s">
        <v>2023</v>
      </c>
      <c r="F270" s="67" t="s">
        <v>78</v>
      </c>
      <c r="G270" s="67" t="s">
        <v>2024</v>
      </c>
      <c r="H270" s="67" t="s">
        <v>2025</v>
      </c>
      <c r="I270" s="67" t="s">
        <v>161</v>
      </c>
      <c r="J270" s="67" t="s">
        <v>161</v>
      </c>
      <c r="K270" s="67" t="s">
        <v>161</v>
      </c>
      <c r="L270" s="67" t="s">
        <v>2026</v>
      </c>
      <c r="M270" s="67" t="s">
        <v>2027</v>
      </c>
      <c r="N270" s="67" t="s">
        <v>2027</v>
      </c>
      <c r="O270" s="67" t="s">
        <v>165</v>
      </c>
      <c r="P270" s="67" t="s">
        <v>2028</v>
      </c>
    </row>
    <row r="271" s="43" customFormat="1" hidden="1" customHeight="1" spans="1:16">
      <c r="A271" s="67" t="s">
        <v>2029</v>
      </c>
      <c r="B271" s="67">
        <v>30.85</v>
      </c>
      <c r="C271" s="67">
        <v>3</v>
      </c>
      <c r="D271" s="67" t="s">
        <v>2030</v>
      </c>
      <c r="E271" s="67" t="s">
        <v>247</v>
      </c>
      <c r="F271" s="67" t="s">
        <v>12</v>
      </c>
      <c r="G271" s="67" t="s">
        <v>2031</v>
      </c>
      <c r="H271" s="67" t="s">
        <v>2032</v>
      </c>
      <c r="I271" s="67" t="s">
        <v>161</v>
      </c>
      <c r="J271" s="67" t="s">
        <v>649</v>
      </c>
      <c r="K271" s="67" t="s">
        <v>161</v>
      </c>
      <c r="L271" s="67" t="s">
        <v>2033</v>
      </c>
      <c r="M271" s="67" t="s">
        <v>2034</v>
      </c>
      <c r="N271" s="67" t="s">
        <v>2034</v>
      </c>
      <c r="O271" s="67" t="s">
        <v>165</v>
      </c>
      <c r="P271" s="67" t="s">
        <v>2035</v>
      </c>
    </row>
    <row r="272" s="43" customFormat="1" customHeight="1" spans="1:16">
      <c r="A272" s="67" t="s">
        <v>2036</v>
      </c>
      <c r="B272" s="67">
        <v>46.15</v>
      </c>
      <c r="C272" s="67">
        <v>5</v>
      </c>
      <c r="D272" s="67" t="s">
        <v>2037</v>
      </c>
      <c r="E272" s="67" t="s">
        <v>2038</v>
      </c>
      <c r="F272" s="67" t="s">
        <v>98</v>
      </c>
      <c r="G272" s="67" t="s">
        <v>2039</v>
      </c>
      <c r="H272" s="67" t="s">
        <v>2040</v>
      </c>
      <c r="I272" s="67" t="s">
        <v>161</v>
      </c>
      <c r="J272" s="67" t="s">
        <v>161</v>
      </c>
      <c r="K272" s="67" t="s">
        <v>161</v>
      </c>
      <c r="L272" s="67" t="s">
        <v>2041</v>
      </c>
      <c r="M272" s="67" t="s">
        <v>2042</v>
      </c>
      <c r="N272" s="67" t="s">
        <v>2042</v>
      </c>
      <c r="O272" s="67" t="s">
        <v>165</v>
      </c>
      <c r="P272" s="67" t="s">
        <v>2043</v>
      </c>
    </row>
    <row r="273" s="43" customFormat="1" customHeight="1" spans="1:16">
      <c r="A273" s="67" t="s">
        <v>2044</v>
      </c>
      <c r="B273" s="67">
        <v>59.65</v>
      </c>
      <c r="C273" s="67">
        <v>6</v>
      </c>
      <c r="D273" s="67" t="s">
        <v>2045</v>
      </c>
      <c r="E273" s="67" t="s">
        <v>2046</v>
      </c>
      <c r="F273" s="67" t="s">
        <v>12</v>
      </c>
      <c r="G273" s="67" t="s">
        <v>2047</v>
      </c>
      <c r="H273" s="67" t="s">
        <v>2048</v>
      </c>
      <c r="I273" s="67" t="s">
        <v>161</v>
      </c>
      <c r="J273" s="67" t="s">
        <v>161</v>
      </c>
      <c r="K273" s="67" t="s">
        <v>161</v>
      </c>
      <c r="L273" s="67" t="s">
        <v>2049</v>
      </c>
      <c r="M273" s="67" t="s">
        <v>2050</v>
      </c>
      <c r="N273" s="67" t="s">
        <v>2050</v>
      </c>
      <c r="O273" s="67" t="s">
        <v>165</v>
      </c>
      <c r="P273" s="67" t="s">
        <v>2051</v>
      </c>
    </row>
    <row r="274" s="43" customFormat="1" customHeight="1" spans="1:16">
      <c r="A274" s="67" t="s">
        <v>2052</v>
      </c>
      <c r="B274" s="67">
        <v>72.23</v>
      </c>
      <c r="C274" s="67">
        <v>6</v>
      </c>
      <c r="D274" s="67" t="s">
        <v>2053</v>
      </c>
      <c r="E274" s="67" t="s">
        <v>2054</v>
      </c>
      <c r="F274" s="67" t="s">
        <v>98</v>
      </c>
      <c r="G274" s="67" t="s">
        <v>2055</v>
      </c>
      <c r="H274" s="67" t="s">
        <v>2056</v>
      </c>
      <c r="I274" s="67" t="s">
        <v>161</v>
      </c>
      <c r="J274" s="67" t="s">
        <v>161</v>
      </c>
      <c r="K274" s="67" t="s">
        <v>161</v>
      </c>
      <c r="L274" s="67" t="s">
        <v>2057</v>
      </c>
      <c r="M274" s="67" t="s">
        <v>2058</v>
      </c>
      <c r="N274" s="67" t="s">
        <v>2058</v>
      </c>
      <c r="O274" s="67" t="s">
        <v>165</v>
      </c>
      <c r="P274" s="67" t="s">
        <v>2059</v>
      </c>
    </row>
    <row r="275" s="43" customFormat="1" customHeight="1" spans="1:16">
      <c r="A275" s="67" t="s">
        <v>2060</v>
      </c>
      <c r="B275" s="67">
        <v>68.57</v>
      </c>
      <c r="C275" s="67">
        <v>5</v>
      </c>
      <c r="D275" s="67" t="s">
        <v>2061</v>
      </c>
      <c r="E275" s="67" t="s">
        <v>2062</v>
      </c>
      <c r="F275" s="67" t="s">
        <v>90</v>
      </c>
      <c r="G275" s="67" t="s">
        <v>524</v>
      </c>
      <c r="H275" s="67" t="s">
        <v>2063</v>
      </c>
      <c r="I275" s="67" t="s">
        <v>161</v>
      </c>
      <c r="J275" s="67" t="s">
        <v>161</v>
      </c>
      <c r="K275" s="67" t="s">
        <v>161</v>
      </c>
      <c r="L275" s="67" t="s">
        <v>526</v>
      </c>
      <c r="M275" s="67" t="s">
        <v>2064</v>
      </c>
      <c r="N275" s="67" t="s">
        <v>2064</v>
      </c>
      <c r="O275" s="67" t="s">
        <v>165</v>
      </c>
      <c r="P275" s="67" t="s">
        <v>2059</v>
      </c>
    </row>
    <row r="276" s="43" customFormat="1" hidden="1" customHeight="1" spans="1:16">
      <c r="A276" s="67" t="s">
        <v>2065</v>
      </c>
      <c r="B276" s="67">
        <v>52.7</v>
      </c>
      <c r="C276" s="67">
        <v>5</v>
      </c>
      <c r="D276" s="67" t="s">
        <v>2066</v>
      </c>
      <c r="E276" s="67" t="s">
        <v>2067</v>
      </c>
      <c r="F276" s="67" t="s">
        <v>12</v>
      </c>
      <c r="G276" s="67" t="s">
        <v>2068</v>
      </c>
      <c r="H276" s="67" t="s">
        <v>2069</v>
      </c>
      <c r="I276" s="67" t="s">
        <v>161</v>
      </c>
      <c r="J276" s="67" t="s">
        <v>649</v>
      </c>
      <c r="K276" s="67" t="s">
        <v>161</v>
      </c>
      <c r="L276" s="67" t="s">
        <v>2070</v>
      </c>
      <c r="M276" s="67" t="s">
        <v>2071</v>
      </c>
      <c r="N276" s="67" t="s">
        <v>2071</v>
      </c>
      <c r="O276" s="67" t="s">
        <v>165</v>
      </c>
      <c r="P276" s="67" t="s">
        <v>2072</v>
      </c>
    </row>
    <row r="277" s="43" customFormat="1" hidden="1" customHeight="1" spans="1:16">
      <c r="A277" s="67" t="s">
        <v>2073</v>
      </c>
      <c r="B277" s="67">
        <v>35.75</v>
      </c>
      <c r="C277" s="67">
        <v>4</v>
      </c>
      <c r="D277" s="67" t="s">
        <v>2074</v>
      </c>
      <c r="E277" s="67" t="s">
        <v>2075</v>
      </c>
      <c r="F277" s="67" t="s">
        <v>12</v>
      </c>
      <c r="G277" s="67" t="s">
        <v>2076</v>
      </c>
      <c r="H277" s="67" t="s">
        <v>2077</v>
      </c>
      <c r="I277" s="67" t="s">
        <v>161</v>
      </c>
      <c r="J277" s="67" t="s">
        <v>649</v>
      </c>
      <c r="K277" s="67" t="s">
        <v>161</v>
      </c>
      <c r="L277" s="67" t="s">
        <v>2078</v>
      </c>
      <c r="M277" s="67" t="s">
        <v>2079</v>
      </c>
      <c r="N277" s="67" t="s">
        <v>2079</v>
      </c>
      <c r="O277" s="67" t="s">
        <v>165</v>
      </c>
      <c r="P277" s="67" t="s">
        <v>2080</v>
      </c>
    </row>
    <row r="278" s="43" customFormat="1" customHeight="1" spans="1:16">
      <c r="A278" s="67" t="s">
        <v>2081</v>
      </c>
      <c r="B278" s="67">
        <v>30.8</v>
      </c>
      <c r="C278" s="67">
        <v>3</v>
      </c>
      <c r="D278" s="67" t="s">
        <v>1830</v>
      </c>
      <c r="E278" s="67" t="s">
        <v>2082</v>
      </c>
      <c r="F278" s="67" t="s">
        <v>12</v>
      </c>
      <c r="G278" s="67" t="s">
        <v>2083</v>
      </c>
      <c r="H278" s="67" t="s">
        <v>2084</v>
      </c>
      <c r="I278" s="67" t="s">
        <v>161</v>
      </c>
      <c r="J278" s="67" t="s">
        <v>161</v>
      </c>
      <c r="K278" s="67" t="s">
        <v>161</v>
      </c>
      <c r="L278" s="67" t="s">
        <v>2085</v>
      </c>
      <c r="M278" s="67" t="s">
        <v>2086</v>
      </c>
      <c r="N278" s="67" t="s">
        <v>2086</v>
      </c>
      <c r="O278" s="67" t="s">
        <v>165</v>
      </c>
      <c r="P278" s="67" t="s">
        <v>2087</v>
      </c>
    </row>
    <row r="279" s="43" customFormat="1" customHeight="1" spans="1:16">
      <c r="A279" s="67" t="s">
        <v>2088</v>
      </c>
      <c r="B279" s="67">
        <v>69.78</v>
      </c>
      <c r="C279" s="67">
        <v>9</v>
      </c>
      <c r="D279" s="67" t="s">
        <v>2089</v>
      </c>
      <c r="E279" s="67" t="s">
        <v>2090</v>
      </c>
      <c r="F279" s="67" t="s">
        <v>12</v>
      </c>
      <c r="G279" s="67" t="s">
        <v>2091</v>
      </c>
      <c r="H279" s="67" t="s">
        <v>2092</v>
      </c>
      <c r="I279" s="67" t="s">
        <v>161</v>
      </c>
      <c r="J279" s="67" t="s">
        <v>161</v>
      </c>
      <c r="K279" s="67" t="s">
        <v>161</v>
      </c>
      <c r="L279" s="67" t="s">
        <v>2093</v>
      </c>
      <c r="M279" s="67" t="s">
        <v>2094</v>
      </c>
      <c r="N279" s="67" t="s">
        <v>2094</v>
      </c>
      <c r="O279" s="67" t="s">
        <v>165</v>
      </c>
      <c r="P279" s="67" t="s">
        <v>2095</v>
      </c>
    </row>
    <row r="280" s="43" customFormat="1" hidden="1" customHeight="1" spans="1:16">
      <c r="A280" s="67" t="s">
        <v>2096</v>
      </c>
      <c r="B280" s="67">
        <v>60.15</v>
      </c>
      <c r="C280" s="67">
        <v>6</v>
      </c>
      <c r="D280" s="67" t="s">
        <v>2097</v>
      </c>
      <c r="E280" s="67" t="s">
        <v>2098</v>
      </c>
      <c r="F280" s="67" t="s">
        <v>12</v>
      </c>
      <c r="G280" s="67" t="s">
        <v>2099</v>
      </c>
      <c r="H280" s="67" t="s">
        <v>2100</v>
      </c>
      <c r="I280" s="67" t="s">
        <v>161</v>
      </c>
      <c r="J280" s="67" t="s">
        <v>649</v>
      </c>
      <c r="K280" s="67" t="s">
        <v>161</v>
      </c>
      <c r="L280" s="67" t="s">
        <v>2101</v>
      </c>
      <c r="M280" s="67" t="s">
        <v>2102</v>
      </c>
      <c r="N280" s="67" t="s">
        <v>2102</v>
      </c>
      <c r="O280" s="67" t="s">
        <v>165</v>
      </c>
      <c r="P280" s="67" t="s">
        <v>2103</v>
      </c>
    </row>
    <row r="281" s="43" customFormat="1" hidden="1" customHeight="1" spans="1:16">
      <c r="A281" s="67" t="s">
        <v>2104</v>
      </c>
      <c r="B281" s="67">
        <v>47.8</v>
      </c>
      <c r="C281" s="67">
        <v>4</v>
      </c>
      <c r="D281" s="67" t="s">
        <v>2105</v>
      </c>
      <c r="E281" s="67" t="s">
        <v>2106</v>
      </c>
      <c r="F281" s="67" t="s">
        <v>12</v>
      </c>
      <c r="G281" s="67" t="s">
        <v>2107</v>
      </c>
      <c r="H281" s="67" t="s">
        <v>2108</v>
      </c>
      <c r="I281" s="67" t="s">
        <v>161</v>
      </c>
      <c r="J281" s="67" t="s">
        <v>649</v>
      </c>
      <c r="K281" s="67" t="s">
        <v>161</v>
      </c>
      <c r="L281" s="67" t="s">
        <v>2109</v>
      </c>
      <c r="M281" s="67" t="s">
        <v>2110</v>
      </c>
      <c r="N281" s="67" t="s">
        <v>2110</v>
      </c>
      <c r="O281" s="67" t="s">
        <v>165</v>
      </c>
      <c r="P281" s="67" t="s">
        <v>2111</v>
      </c>
    </row>
    <row r="282" s="43" customFormat="1" customHeight="1" spans="1:16">
      <c r="A282" s="67" t="s">
        <v>2112</v>
      </c>
      <c r="B282" s="67">
        <v>43.7</v>
      </c>
      <c r="C282" s="67">
        <v>4</v>
      </c>
      <c r="D282" s="67" t="s">
        <v>2113</v>
      </c>
      <c r="E282" s="67" t="s">
        <v>2114</v>
      </c>
      <c r="F282" s="67" t="s">
        <v>12</v>
      </c>
      <c r="G282" s="67" t="s">
        <v>2115</v>
      </c>
      <c r="H282" s="67" t="s">
        <v>2116</v>
      </c>
      <c r="I282" s="67" t="s">
        <v>161</v>
      </c>
      <c r="J282" s="67" t="s">
        <v>161</v>
      </c>
      <c r="K282" s="67" t="s">
        <v>161</v>
      </c>
      <c r="L282" s="67" t="s">
        <v>2117</v>
      </c>
      <c r="M282" s="67" t="s">
        <v>2118</v>
      </c>
      <c r="N282" s="67" t="s">
        <v>2118</v>
      </c>
      <c r="O282" s="67" t="s">
        <v>165</v>
      </c>
      <c r="P282" s="67" t="s">
        <v>2119</v>
      </c>
    </row>
    <row r="283" s="43" customFormat="1" customHeight="1" spans="1:16">
      <c r="A283" s="67" t="s">
        <v>2120</v>
      </c>
      <c r="B283" s="67">
        <v>33.7</v>
      </c>
      <c r="C283" s="67">
        <v>4</v>
      </c>
      <c r="D283" s="67" t="s">
        <v>2121</v>
      </c>
      <c r="E283" s="67" t="s">
        <v>2122</v>
      </c>
      <c r="F283" s="67" t="s">
        <v>78</v>
      </c>
      <c r="G283" s="67" t="s">
        <v>2123</v>
      </c>
      <c r="H283" s="67" t="s">
        <v>2124</v>
      </c>
      <c r="I283" s="67" t="s">
        <v>161</v>
      </c>
      <c r="J283" s="67" t="s">
        <v>161</v>
      </c>
      <c r="K283" s="67" t="s">
        <v>161</v>
      </c>
      <c r="L283" s="67" t="s">
        <v>2125</v>
      </c>
      <c r="M283" s="67" t="s">
        <v>2126</v>
      </c>
      <c r="N283" s="67" t="s">
        <v>2126</v>
      </c>
      <c r="O283" s="67" t="s">
        <v>165</v>
      </c>
      <c r="P283" s="67" t="s">
        <v>2028</v>
      </c>
    </row>
    <row r="284" s="43" customFormat="1" customHeight="1" spans="1:16">
      <c r="A284" s="67" t="s">
        <v>2127</v>
      </c>
      <c r="B284" s="67">
        <v>37.75</v>
      </c>
      <c r="C284" s="67">
        <v>4</v>
      </c>
      <c r="D284" s="67" t="s">
        <v>2128</v>
      </c>
      <c r="E284" s="67" t="s">
        <v>2129</v>
      </c>
      <c r="F284" s="67" t="s">
        <v>12</v>
      </c>
      <c r="G284" s="67" t="s">
        <v>2130</v>
      </c>
      <c r="H284" s="67" t="s">
        <v>2131</v>
      </c>
      <c r="I284" s="67" t="s">
        <v>161</v>
      </c>
      <c r="J284" s="67" t="s">
        <v>161</v>
      </c>
      <c r="K284" s="67" t="s">
        <v>161</v>
      </c>
      <c r="L284" s="67" t="s">
        <v>2132</v>
      </c>
      <c r="M284" s="67" t="s">
        <v>2133</v>
      </c>
      <c r="N284" s="67" t="s">
        <v>2133</v>
      </c>
      <c r="O284" s="67" t="s">
        <v>165</v>
      </c>
      <c r="P284" s="67" t="s">
        <v>2134</v>
      </c>
    </row>
    <row r="285" s="43" customFormat="1" customHeight="1" spans="1:16">
      <c r="A285" s="67" t="s">
        <v>2135</v>
      </c>
      <c r="B285" s="67">
        <v>54.75</v>
      </c>
      <c r="C285" s="67">
        <v>5</v>
      </c>
      <c r="D285" s="67" t="s">
        <v>786</v>
      </c>
      <c r="E285" s="67" t="s">
        <v>2136</v>
      </c>
      <c r="F285" s="67" t="s">
        <v>12</v>
      </c>
      <c r="G285" s="67" t="s">
        <v>2137</v>
      </c>
      <c r="H285" s="67" t="s">
        <v>2138</v>
      </c>
      <c r="I285" s="67" t="s">
        <v>161</v>
      </c>
      <c r="J285" s="67" t="s">
        <v>161</v>
      </c>
      <c r="K285" s="67" t="s">
        <v>161</v>
      </c>
      <c r="L285" s="67" t="s">
        <v>2139</v>
      </c>
      <c r="M285" s="67" t="s">
        <v>2140</v>
      </c>
      <c r="N285" s="67" t="s">
        <v>2140</v>
      </c>
      <c r="O285" s="67" t="s">
        <v>165</v>
      </c>
      <c r="P285" s="67" t="s">
        <v>2141</v>
      </c>
    </row>
    <row r="286" s="43" customFormat="1" hidden="1" customHeight="1" spans="1:16">
      <c r="A286" s="67" t="s">
        <v>2142</v>
      </c>
      <c r="B286" s="67">
        <v>26.89</v>
      </c>
      <c r="C286" s="67">
        <v>2</v>
      </c>
      <c r="D286" s="67" t="s">
        <v>2143</v>
      </c>
      <c r="E286" s="67" t="s">
        <v>357</v>
      </c>
      <c r="F286" s="67" t="s">
        <v>12</v>
      </c>
      <c r="G286" s="67" t="s">
        <v>2144</v>
      </c>
      <c r="H286" s="67" t="s">
        <v>2145</v>
      </c>
      <c r="I286" s="67" t="s">
        <v>161</v>
      </c>
      <c r="J286" s="67" t="s">
        <v>649</v>
      </c>
      <c r="K286" s="67" t="s">
        <v>161</v>
      </c>
      <c r="L286" s="67" t="s">
        <v>2146</v>
      </c>
      <c r="M286" s="67" t="s">
        <v>2147</v>
      </c>
      <c r="N286" s="67" t="s">
        <v>2147</v>
      </c>
      <c r="O286" s="67" t="s">
        <v>165</v>
      </c>
      <c r="P286" s="67" t="s">
        <v>2148</v>
      </c>
    </row>
    <row r="287" s="43" customFormat="1" customHeight="1" spans="1:16">
      <c r="A287" s="67" t="s">
        <v>2149</v>
      </c>
      <c r="B287" s="67">
        <v>42.65</v>
      </c>
      <c r="C287" s="67">
        <v>5</v>
      </c>
      <c r="D287" s="67" t="s">
        <v>2150</v>
      </c>
      <c r="E287" s="67" t="s">
        <v>2151</v>
      </c>
      <c r="F287" s="67" t="s">
        <v>12</v>
      </c>
      <c r="G287" s="67" t="s">
        <v>2152</v>
      </c>
      <c r="H287" s="67" t="s">
        <v>2153</v>
      </c>
      <c r="I287" s="67" t="s">
        <v>161</v>
      </c>
      <c r="J287" s="67" t="s">
        <v>161</v>
      </c>
      <c r="K287" s="67" t="s">
        <v>161</v>
      </c>
      <c r="L287" s="67" t="s">
        <v>2154</v>
      </c>
      <c r="M287" s="67" t="s">
        <v>2155</v>
      </c>
      <c r="N287" s="67" t="s">
        <v>2155</v>
      </c>
      <c r="O287" s="67" t="s">
        <v>165</v>
      </c>
      <c r="P287" s="67" t="s">
        <v>2156</v>
      </c>
    </row>
    <row r="288" s="43" customFormat="1" customHeight="1" spans="1:16">
      <c r="A288" s="67" t="s">
        <v>2157</v>
      </c>
      <c r="B288" s="67">
        <v>61.6</v>
      </c>
      <c r="C288" s="67">
        <v>7</v>
      </c>
      <c r="D288" s="67" t="s">
        <v>601</v>
      </c>
      <c r="E288" s="67" t="s">
        <v>2158</v>
      </c>
      <c r="F288" s="67" t="s">
        <v>12</v>
      </c>
      <c r="G288" s="67" t="s">
        <v>2159</v>
      </c>
      <c r="H288" s="67" t="s">
        <v>2160</v>
      </c>
      <c r="I288" s="67" t="s">
        <v>161</v>
      </c>
      <c r="J288" s="67" t="s">
        <v>161</v>
      </c>
      <c r="K288" s="67" t="s">
        <v>161</v>
      </c>
      <c r="L288" s="67" t="s">
        <v>2161</v>
      </c>
      <c r="M288" s="67" t="s">
        <v>2162</v>
      </c>
      <c r="N288" s="67" t="s">
        <v>2162</v>
      </c>
      <c r="O288" s="67" t="s">
        <v>165</v>
      </c>
      <c r="P288" s="67" t="s">
        <v>2163</v>
      </c>
    </row>
    <row r="289" s="43" customFormat="1" hidden="1" customHeight="1" spans="1:16">
      <c r="A289" s="67" t="s">
        <v>2164</v>
      </c>
      <c r="B289" s="67">
        <v>26.89</v>
      </c>
      <c r="C289" s="67">
        <v>2</v>
      </c>
      <c r="D289" s="67" t="s">
        <v>2165</v>
      </c>
      <c r="E289" s="67" t="s">
        <v>233</v>
      </c>
      <c r="F289" s="67" t="s">
        <v>12</v>
      </c>
      <c r="G289" s="67" t="s">
        <v>2166</v>
      </c>
      <c r="H289" s="67" t="s">
        <v>2167</v>
      </c>
      <c r="I289" s="67" t="s">
        <v>161</v>
      </c>
      <c r="J289" s="67" t="s">
        <v>649</v>
      </c>
      <c r="K289" s="67" t="s">
        <v>161</v>
      </c>
      <c r="L289" s="67" t="s">
        <v>2168</v>
      </c>
      <c r="M289" s="67" t="s">
        <v>2169</v>
      </c>
      <c r="N289" s="67" t="s">
        <v>2169</v>
      </c>
      <c r="O289" s="67" t="s">
        <v>165</v>
      </c>
      <c r="P289" s="67" t="s">
        <v>2170</v>
      </c>
    </row>
    <row r="290" s="43" customFormat="1" customHeight="1" spans="1:16">
      <c r="A290" s="67" t="s">
        <v>2171</v>
      </c>
      <c r="B290" s="67">
        <v>30.8</v>
      </c>
      <c r="C290" s="67">
        <v>3</v>
      </c>
      <c r="D290" s="67" t="s">
        <v>1830</v>
      </c>
      <c r="E290" s="67" t="s">
        <v>2082</v>
      </c>
      <c r="F290" s="67" t="s">
        <v>12</v>
      </c>
      <c r="G290" s="67" t="s">
        <v>2172</v>
      </c>
      <c r="H290" s="67" t="s">
        <v>2173</v>
      </c>
      <c r="I290" s="67" t="s">
        <v>161</v>
      </c>
      <c r="J290" s="67" t="s">
        <v>161</v>
      </c>
      <c r="K290" s="67" t="s">
        <v>161</v>
      </c>
      <c r="L290" s="67" t="s">
        <v>2174</v>
      </c>
      <c r="M290" s="67" t="s">
        <v>2175</v>
      </c>
      <c r="N290" s="67" t="s">
        <v>2175</v>
      </c>
      <c r="O290" s="67" t="s">
        <v>165</v>
      </c>
      <c r="P290" s="67" t="s">
        <v>2176</v>
      </c>
    </row>
    <row r="291" s="43" customFormat="1" hidden="1" customHeight="1" spans="1:16">
      <c r="A291" s="67" t="s">
        <v>2177</v>
      </c>
      <c r="B291" s="67">
        <v>39.24</v>
      </c>
      <c r="C291" s="67">
        <v>3</v>
      </c>
      <c r="D291" s="67" t="s">
        <v>2178</v>
      </c>
      <c r="E291" s="67" t="s">
        <v>2122</v>
      </c>
      <c r="F291" s="67" t="s">
        <v>12</v>
      </c>
      <c r="G291" s="67" t="s">
        <v>2172</v>
      </c>
      <c r="H291" s="67" t="s">
        <v>2179</v>
      </c>
      <c r="I291" s="67" t="s">
        <v>161</v>
      </c>
      <c r="J291" s="67" t="s">
        <v>649</v>
      </c>
      <c r="K291" s="67" t="s">
        <v>161</v>
      </c>
      <c r="L291" s="67" t="s">
        <v>2174</v>
      </c>
      <c r="M291" s="67" t="s">
        <v>2180</v>
      </c>
      <c r="N291" s="67" t="s">
        <v>2180</v>
      </c>
      <c r="O291" s="67" t="s">
        <v>165</v>
      </c>
      <c r="P291" s="67" t="s">
        <v>2181</v>
      </c>
    </row>
    <row r="292" s="43" customFormat="1" customHeight="1" spans="1:16">
      <c r="A292" s="67" t="s">
        <v>2182</v>
      </c>
      <c r="B292" s="67">
        <v>30.85</v>
      </c>
      <c r="C292" s="67">
        <v>3</v>
      </c>
      <c r="D292" s="67" t="s">
        <v>2183</v>
      </c>
      <c r="E292" s="67" t="s">
        <v>2184</v>
      </c>
      <c r="F292" s="67" t="s">
        <v>12</v>
      </c>
      <c r="G292" s="67" t="s">
        <v>2185</v>
      </c>
      <c r="H292" s="67" t="s">
        <v>2186</v>
      </c>
      <c r="I292" s="67" t="s">
        <v>161</v>
      </c>
      <c r="J292" s="67" t="s">
        <v>161</v>
      </c>
      <c r="K292" s="67" t="s">
        <v>161</v>
      </c>
      <c r="L292" s="67" t="s">
        <v>2187</v>
      </c>
      <c r="M292" s="67" t="s">
        <v>2188</v>
      </c>
      <c r="N292" s="67" t="s">
        <v>2188</v>
      </c>
      <c r="O292" s="67" t="s">
        <v>165</v>
      </c>
      <c r="P292" s="67" t="s">
        <v>2189</v>
      </c>
    </row>
    <row r="293" s="43" customFormat="1" customHeight="1" spans="1:16">
      <c r="A293" s="67" t="s">
        <v>2190</v>
      </c>
      <c r="B293" s="67">
        <v>78.35</v>
      </c>
      <c r="C293" s="67">
        <v>10</v>
      </c>
      <c r="D293" s="67" t="s">
        <v>2191</v>
      </c>
      <c r="E293" s="67" t="s">
        <v>2192</v>
      </c>
      <c r="F293" s="67" t="s">
        <v>12</v>
      </c>
      <c r="G293" s="67" t="s">
        <v>2193</v>
      </c>
      <c r="H293" s="67" t="s">
        <v>2194</v>
      </c>
      <c r="I293" s="67" t="s">
        <v>161</v>
      </c>
      <c r="J293" s="67" t="s">
        <v>161</v>
      </c>
      <c r="K293" s="67" t="s">
        <v>161</v>
      </c>
      <c r="L293" s="67" t="s">
        <v>2195</v>
      </c>
      <c r="M293" s="67" t="s">
        <v>2196</v>
      </c>
      <c r="N293" s="67" t="s">
        <v>2196</v>
      </c>
      <c r="O293" s="67" t="s">
        <v>165</v>
      </c>
      <c r="P293" s="67" t="s">
        <v>2197</v>
      </c>
    </row>
    <row r="294" s="43" customFormat="1" customHeight="1" spans="1:16">
      <c r="A294" s="67" t="s">
        <v>2198</v>
      </c>
      <c r="B294" s="67">
        <v>88.51</v>
      </c>
      <c r="C294" s="67">
        <v>7</v>
      </c>
      <c r="D294" s="67" t="s">
        <v>2199</v>
      </c>
      <c r="E294" s="67" t="s">
        <v>2200</v>
      </c>
      <c r="F294" s="67" t="s">
        <v>98</v>
      </c>
      <c r="G294" s="67" t="s">
        <v>2201</v>
      </c>
      <c r="H294" s="67" t="s">
        <v>2202</v>
      </c>
      <c r="I294" s="67" t="s">
        <v>161</v>
      </c>
      <c r="J294" s="67" t="s">
        <v>161</v>
      </c>
      <c r="K294" s="67" t="s">
        <v>161</v>
      </c>
      <c r="L294" s="67" t="s">
        <v>2203</v>
      </c>
      <c r="M294" s="67" t="s">
        <v>2204</v>
      </c>
      <c r="N294" s="67" t="s">
        <v>2204</v>
      </c>
      <c r="O294" s="67" t="s">
        <v>165</v>
      </c>
      <c r="P294" s="67" t="s">
        <v>2205</v>
      </c>
    </row>
    <row r="295" s="43" customFormat="1" customHeight="1" spans="1:16">
      <c r="A295" s="67" t="s">
        <v>2206</v>
      </c>
      <c r="B295" s="67">
        <v>66.55</v>
      </c>
      <c r="C295" s="67">
        <v>7</v>
      </c>
      <c r="D295" s="67" t="s">
        <v>2207</v>
      </c>
      <c r="E295" s="67" t="s">
        <v>2208</v>
      </c>
      <c r="F295" s="67" t="s">
        <v>12</v>
      </c>
      <c r="G295" s="67" t="s">
        <v>2209</v>
      </c>
      <c r="H295" s="67" t="s">
        <v>2210</v>
      </c>
      <c r="I295" s="67" t="s">
        <v>161</v>
      </c>
      <c r="J295" s="67" t="s">
        <v>161</v>
      </c>
      <c r="K295" s="67" t="s">
        <v>161</v>
      </c>
      <c r="L295" s="67" t="s">
        <v>2211</v>
      </c>
      <c r="M295" s="67" t="s">
        <v>2212</v>
      </c>
      <c r="N295" s="67" t="s">
        <v>2212</v>
      </c>
      <c r="O295" s="67" t="s">
        <v>165</v>
      </c>
      <c r="P295" s="67" t="s">
        <v>2213</v>
      </c>
    </row>
    <row r="296" s="43" customFormat="1" customHeight="1" spans="1:16">
      <c r="A296" s="67" t="s">
        <v>2214</v>
      </c>
      <c r="B296" s="67">
        <v>49.86</v>
      </c>
      <c r="C296" s="67">
        <v>4</v>
      </c>
      <c r="D296" s="67" t="s">
        <v>2215</v>
      </c>
      <c r="E296" s="67" t="s">
        <v>2216</v>
      </c>
      <c r="F296" s="67" t="s">
        <v>90</v>
      </c>
      <c r="G296" s="67" t="s">
        <v>2217</v>
      </c>
      <c r="H296" s="67" t="s">
        <v>2218</v>
      </c>
      <c r="I296" s="67" t="s">
        <v>161</v>
      </c>
      <c r="J296" s="67" t="s">
        <v>161</v>
      </c>
      <c r="K296" s="67" t="s">
        <v>161</v>
      </c>
      <c r="L296" s="67" t="s">
        <v>2219</v>
      </c>
      <c r="M296" s="67" t="s">
        <v>2220</v>
      </c>
      <c r="N296" s="67" t="s">
        <v>2220</v>
      </c>
      <c r="O296" s="67" t="s">
        <v>165</v>
      </c>
      <c r="P296" s="67" t="s">
        <v>2028</v>
      </c>
    </row>
    <row r="297" s="43" customFormat="1" hidden="1" customHeight="1" spans="1:16">
      <c r="A297" s="67" t="s">
        <v>2221</v>
      </c>
      <c r="B297" s="67">
        <v>30.85</v>
      </c>
      <c r="C297" s="67">
        <v>3</v>
      </c>
      <c r="D297" s="67" t="s">
        <v>2222</v>
      </c>
      <c r="E297" s="67" t="s">
        <v>1555</v>
      </c>
      <c r="F297" s="67" t="s">
        <v>12</v>
      </c>
      <c r="G297" s="67" t="s">
        <v>2223</v>
      </c>
      <c r="H297" s="67" t="s">
        <v>2224</v>
      </c>
      <c r="I297" s="67" t="s">
        <v>161</v>
      </c>
      <c r="J297" s="67" t="s">
        <v>649</v>
      </c>
      <c r="K297" s="67" t="s">
        <v>161</v>
      </c>
      <c r="L297" s="67" t="s">
        <v>2225</v>
      </c>
      <c r="M297" s="67" t="s">
        <v>2226</v>
      </c>
      <c r="N297" s="67" t="s">
        <v>2226</v>
      </c>
      <c r="O297" s="67" t="s">
        <v>165</v>
      </c>
      <c r="P297" s="67" t="s">
        <v>2227</v>
      </c>
    </row>
    <row r="298" s="43" customFormat="1" customHeight="1" spans="1:16">
      <c r="A298" s="67" t="s">
        <v>2228</v>
      </c>
      <c r="B298" s="67">
        <v>64.14</v>
      </c>
      <c r="C298" s="67">
        <v>6</v>
      </c>
      <c r="D298" s="67" t="s">
        <v>2229</v>
      </c>
      <c r="E298" s="67" t="s">
        <v>2230</v>
      </c>
      <c r="F298" s="67" t="s">
        <v>104</v>
      </c>
      <c r="G298" s="67" t="s">
        <v>2231</v>
      </c>
      <c r="H298" s="67" t="s">
        <v>2232</v>
      </c>
      <c r="I298" s="67" t="s">
        <v>161</v>
      </c>
      <c r="J298" s="67" t="s">
        <v>161</v>
      </c>
      <c r="K298" s="67" t="s">
        <v>161</v>
      </c>
      <c r="L298" s="67" t="s">
        <v>2233</v>
      </c>
      <c r="M298" s="67" t="s">
        <v>2234</v>
      </c>
      <c r="N298" s="67" t="s">
        <v>2234</v>
      </c>
      <c r="O298" s="67" t="s">
        <v>165</v>
      </c>
      <c r="P298" s="67" t="s">
        <v>2028</v>
      </c>
    </row>
    <row r="299" s="43" customFormat="1" customHeight="1" spans="1:16">
      <c r="A299" s="67" t="s">
        <v>2235</v>
      </c>
      <c r="B299" s="67">
        <v>47.8</v>
      </c>
      <c r="C299" s="67">
        <v>4</v>
      </c>
      <c r="D299" s="67" t="s">
        <v>821</v>
      </c>
      <c r="E299" s="67" t="s">
        <v>2236</v>
      </c>
      <c r="F299" s="67" t="s">
        <v>12</v>
      </c>
      <c r="G299" s="67" t="s">
        <v>2237</v>
      </c>
      <c r="H299" s="67" t="s">
        <v>2238</v>
      </c>
      <c r="I299" s="67" t="s">
        <v>161</v>
      </c>
      <c r="J299" s="67" t="s">
        <v>161</v>
      </c>
      <c r="K299" s="67" t="s">
        <v>161</v>
      </c>
      <c r="L299" s="67" t="s">
        <v>2239</v>
      </c>
      <c r="M299" s="67" t="s">
        <v>2240</v>
      </c>
      <c r="N299" s="67" t="s">
        <v>2240</v>
      </c>
      <c r="O299" s="67" t="s">
        <v>165</v>
      </c>
      <c r="P299" s="67" t="s">
        <v>2241</v>
      </c>
    </row>
    <row r="300" s="43" customFormat="1" customHeight="1" spans="1:16">
      <c r="A300" s="67" t="s">
        <v>2242</v>
      </c>
      <c r="B300" s="67">
        <v>41.15</v>
      </c>
      <c r="C300" s="67">
        <v>4</v>
      </c>
      <c r="D300" s="67" t="s">
        <v>2243</v>
      </c>
      <c r="E300" s="67" t="s">
        <v>2244</v>
      </c>
      <c r="F300" s="67" t="s">
        <v>12</v>
      </c>
      <c r="G300" s="67" t="s">
        <v>2245</v>
      </c>
      <c r="H300" s="67" t="s">
        <v>2246</v>
      </c>
      <c r="I300" s="67" t="s">
        <v>161</v>
      </c>
      <c r="J300" s="67" t="s">
        <v>161</v>
      </c>
      <c r="K300" s="67" t="s">
        <v>161</v>
      </c>
      <c r="L300" s="67" t="s">
        <v>2247</v>
      </c>
      <c r="M300" s="67" t="s">
        <v>2248</v>
      </c>
      <c r="N300" s="67" t="s">
        <v>2248</v>
      </c>
      <c r="O300" s="67" t="s">
        <v>165</v>
      </c>
      <c r="P300" s="67" t="s">
        <v>2249</v>
      </c>
    </row>
    <row r="301" s="43" customFormat="1" customHeight="1" spans="1:16">
      <c r="A301" s="67" t="s">
        <v>2250</v>
      </c>
      <c r="B301" s="67">
        <v>35.7</v>
      </c>
      <c r="C301" s="67">
        <v>4</v>
      </c>
      <c r="D301" s="67" t="s">
        <v>1073</v>
      </c>
      <c r="E301" s="67" t="s">
        <v>2251</v>
      </c>
      <c r="F301" s="67" t="s">
        <v>78</v>
      </c>
      <c r="G301" s="67" t="s">
        <v>2252</v>
      </c>
      <c r="H301" s="67" t="s">
        <v>2253</v>
      </c>
      <c r="I301" s="67" t="s">
        <v>161</v>
      </c>
      <c r="J301" s="67" t="s">
        <v>161</v>
      </c>
      <c r="K301" s="67" t="s">
        <v>2254</v>
      </c>
      <c r="L301" s="67" t="s">
        <v>2255</v>
      </c>
      <c r="M301" s="67" t="s">
        <v>2256</v>
      </c>
      <c r="N301" s="67" t="s">
        <v>2256</v>
      </c>
      <c r="O301" s="67" t="s">
        <v>165</v>
      </c>
      <c r="P301" s="67" t="s">
        <v>2059</v>
      </c>
    </row>
    <row r="302" s="43" customFormat="1" customHeight="1" spans="1:16">
      <c r="A302" s="67" t="s">
        <v>2257</v>
      </c>
      <c r="B302" s="67">
        <v>60.15</v>
      </c>
      <c r="C302" s="67">
        <v>5</v>
      </c>
      <c r="D302" s="67" t="s">
        <v>2258</v>
      </c>
      <c r="E302" s="67" t="s">
        <v>2259</v>
      </c>
      <c r="F302" s="67" t="s">
        <v>78</v>
      </c>
      <c r="G302" s="67" t="s">
        <v>2260</v>
      </c>
      <c r="H302" s="67" t="s">
        <v>2261</v>
      </c>
      <c r="I302" s="67" t="s">
        <v>161</v>
      </c>
      <c r="J302" s="67" t="s">
        <v>161</v>
      </c>
      <c r="K302" s="67" t="s">
        <v>161</v>
      </c>
      <c r="L302" s="67" t="s">
        <v>2262</v>
      </c>
      <c r="M302" s="67" t="s">
        <v>2263</v>
      </c>
      <c r="N302" s="67" t="s">
        <v>2263</v>
      </c>
      <c r="O302" s="67" t="s">
        <v>165</v>
      </c>
      <c r="P302" s="67" t="s">
        <v>2264</v>
      </c>
    </row>
    <row r="303" s="43" customFormat="1" hidden="1" customHeight="1" spans="1:16">
      <c r="A303" s="67" t="s">
        <v>2265</v>
      </c>
      <c r="B303" s="67">
        <v>59.65</v>
      </c>
      <c r="C303" s="67">
        <v>5</v>
      </c>
      <c r="D303" s="67" t="s">
        <v>2266</v>
      </c>
      <c r="E303" s="67" t="s">
        <v>2267</v>
      </c>
      <c r="F303" s="67" t="s">
        <v>12</v>
      </c>
      <c r="G303" s="67" t="s">
        <v>2268</v>
      </c>
      <c r="H303" s="67" t="s">
        <v>2269</v>
      </c>
      <c r="I303" s="67" t="s">
        <v>161</v>
      </c>
      <c r="J303" s="67" t="s">
        <v>649</v>
      </c>
      <c r="K303" s="67" t="s">
        <v>161</v>
      </c>
      <c r="L303" s="67" t="s">
        <v>2270</v>
      </c>
      <c r="M303" s="67" t="s">
        <v>2271</v>
      </c>
      <c r="N303" s="67" t="s">
        <v>2271</v>
      </c>
      <c r="O303" s="67" t="s">
        <v>165</v>
      </c>
      <c r="P303" s="67" t="s">
        <v>2272</v>
      </c>
    </row>
    <row r="304" s="43" customFormat="1" customHeight="1" spans="1:16">
      <c r="A304" s="67" t="s">
        <v>2273</v>
      </c>
      <c r="B304" s="67">
        <v>30.8</v>
      </c>
      <c r="C304" s="67">
        <v>3</v>
      </c>
      <c r="D304" s="67" t="s">
        <v>173</v>
      </c>
      <c r="E304" s="67" t="s">
        <v>324</v>
      </c>
      <c r="F304" s="67" t="s">
        <v>12</v>
      </c>
      <c r="G304" s="67" t="s">
        <v>2274</v>
      </c>
      <c r="H304" s="67" t="s">
        <v>2275</v>
      </c>
      <c r="I304" s="67" t="s">
        <v>161</v>
      </c>
      <c r="J304" s="67" t="s">
        <v>161</v>
      </c>
      <c r="K304" s="67" t="s">
        <v>161</v>
      </c>
      <c r="L304" s="67" t="s">
        <v>2276</v>
      </c>
      <c r="M304" s="67" t="s">
        <v>2277</v>
      </c>
      <c r="N304" s="67" t="s">
        <v>2277</v>
      </c>
      <c r="O304" s="67" t="s">
        <v>165</v>
      </c>
      <c r="P304" s="67" t="s">
        <v>2278</v>
      </c>
    </row>
    <row r="305" s="43" customFormat="1" hidden="1" customHeight="1" spans="1:16">
      <c r="A305" s="67" t="s">
        <v>2279</v>
      </c>
      <c r="B305" s="67">
        <v>13.94</v>
      </c>
      <c r="C305" s="67">
        <v>2</v>
      </c>
      <c r="D305" s="67" t="s">
        <v>2280</v>
      </c>
      <c r="E305" s="67" t="s">
        <v>2281</v>
      </c>
      <c r="F305" s="67" t="s">
        <v>12</v>
      </c>
      <c r="G305" s="67" t="s">
        <v>808</v>
      </c>
      <c r="H305" s="67" t="s">
        <v>2282</v>
      </c>
      <c r="I305" s="67" t="s">
        <v>161</v>
      </c>
      <c r="J305" s="67" t="s">
        <v>649</v>
      </c>
      <c r="K305" s="67" t="s">
        <v>161</v>
      </c>
      <c r="L305" s="67" t="s">
        <v>1858</v>
      </c>
      <c r="M305" s="67" t="s">
        <v>2283</v>
      </c>
      <c r="N305" s="67" t="s">
        <v>2283</v>
      </c>
      <c r="O305" s="67" t="s">
        <v>165</v>
      </c>
      <c r="P305" s="67" t="s">
        <v>2284</v>
      </c>
    </row>
    <row r="306" s="43" customFormat="1" customHeight="1" spans="1:16">
      <c r="A306" s="67" t="s">
        <v>2285</v>
      </c>
      <c r="B306" s="67">
        <v>66.5</v>
      </c>
      <c r="C306" s="67">
        <v>7</v>
      </c>
      <c r="D306" s="67" t="s">
        <v>2286</v>
      </c>
      <c r="E306" s="67" t="s">
        <v>2287</v>
      </c>
      <c r="F306" s="67" t="s">
        <v>12</v>
      </c>
      <c r="G306" s="67" t="s">
        <v>2288</v>
      </c>
      <c r="H306" s="67" t="s">
        <v>2289</v>
      </c>
      <c r="I306" s="67" t="s">
        <v>161</v>
      </c>
      <c r="J306" s="67" t="s">
        <v>161</v>
      </c>
      <c r="K306" s="67" t="s">
        <v>161</v>
      </c>
      <c r="L306" s="67" t="s">
        <v>2290</v>
      </c>
      <c r="M306" s="67" t="s">
        <v>2291</v>
      </c>
      <c r="N306" s="67" t="s">
        <v>2291</v>
      </c>
      <c r="O306" s="67" t="s">
        <v>165</v>
      </c>
      <c r="P306" s="67" t="s">
        <v>2292</v>
      </c>
    </row>
    <row r="307" s="43" customFormat="1" hidden="1" customHeight="1" spans="1:16">
      <c r="A307" s="67" t="s">
        <v>2293</v>
      </c>
      <c r="B307" s="67">
        <v>59.65</v>
      </c>
      <c r="C307" s="67">
        <v>6</v>
      </c>
      <c r="D307" s="67" t="s">
        <v>2294</v>
      </c>
      <c r="E307" s="67" t="s">
        <v>2295</v>
      </c>
      <c r="F307" s="67" t="s">
        <v>12</v>
      </c>
      <c r="G307" s="67" t="s">
        <v>2296</v>
      </c>
      <c r="H307" s="67" t="s">
        <v>2297</v>
      </c>
      <c r="I307" s="67" t="s">
        <v>161</v>
      </c>
      <c r="J307" s="67" t="s">
        <v>649</v>
      </c>
      <c r="K307" s="67" t="s">
        <v>161</v>
      </c>
      <c r="L307" s="67" t="s">
        <v>2298</v>
      </c>
      <c r="M307" s="67" t="s">
        <v>2299</v>
      </c>
      <c r="N307" s="67" t="s">
        <v>2299</v>
      </c>
      <c r="O307" s="67" t="s">
        <v>165</v>
      </c>
      <c r="P307" s="67" t="s">
        <v>2300</v>
      </c>
    </row>
    <row r="308" s="43" customFormat="1" hidden="1" customHeight="1" spans="1:16">
      <c r="A308" s="67" t="s">
        <v>2301</v>
      </c>
      <c r="B308" s="67">
        <v>30.85</v>
      </c>
      <c r="C308" s="67">
        <v>3</v>
      </c>
      <c r="D308" s="67" t="s">
        <v>2302</v>
      </c>
      <c r="E308" s="67" t="s">
        <v>2303</v>
      </c>
      <c r="F308" s="67" t="s">
        <v>12</v>
      </c>
      <c r="G308" s="67" t="s">
        <v>2304</v>
      </c>
      <c r="H308" s="67" t="s">
        <v>2305</v>
      </c>
      <c r="I308" s="67" t="s">
        <v>161</v>
      </c>
      <c r="J308" s="67" t="s">
        <v>649</v>
      </c>
      <c r="K308" s="67" t="s">
        <v>161</v>
      </c>
      <c r="L308" s="67" t="s">
        <v>2306</v>
      </c>
      <c r="M308" s="67" t="s">
        <v>2307</v>
      </c>
      <c r="N308" s="67" t="s">
        <v>2307</v>
      </c>
      <c r="O308" s="67" t="s">
        <v>165</v>
      </c>
      <c r="P308" s="67" t="s">
        <v>2308</v>
      </c>
    </row>
    <row r="309" s="43" customFormat="1" customHeight="1" spans="1:16">
      <c r="A309" s="67" t="s">
        <v>2309</v>
      </c>
      <c r="B309" s="67">
        <v>121.25</v>
      </c>
      <c r="C309" s="67">
        <v>7</v>
      </c>
      <c r="D309" s="67" t="s">
        <v>2310</v>
      </c>
      <c r="E309" s="67" t="s">
        <v>2311</v>
      </c>
      <c r="F309" s="67" t="s">
        <v>12</v>
      </c>
      <c r="G309" s="67" t="s">
        <v>2312</v>
      </c>
      <c r="H309" s="67" t="s">
        <v>2313</v>
      </c>
      <c r="I309" s="67" t="s">
        <v>161</v>
      </c>
      <c r="J309" s="67" t="s">
        <v>161</v>
      </c>
      <c r="K309" s="67" t="s">
        <v>161</v>
      </c>
      <c r="L309" s="67" t="s">
        <v>2314</v>
      </c>
      <c r="M309" s="67" t="s">
        <v>2315</v>
      </c>
      <c r="N309" s="67" t="s">
        <v>2315</v>
      </c>
      <c r="O309" s="67" t="s">
        <v>165</v>
      </c>
      <c r="P309" s="67" t="s">
        <v>2316</v>
      </c>
    </row>
    <row r="310" s="43" customFormat="1" hidden="1" customHeight="1" spans="1:16">
      <c r="A310" s="67" t="s">
        <v>2317</v>
      </c>
      <c r="B310" s="67">
        <v>84.55</v>
      </c>
      <c r="C310" s="67">
        <v>7</v>
      </c>
      <c r="D310" s="67" t="s">
        <v>2318</v>
      </c>
      <c r="E310" s="67" t="s">
        <v>2319</v>
      </c>
      <c r="F310" s="67" t="s">
        <v>12</v>
      </c>
      <c r="G310" s="67" t="s">
        <v>2320</v>
      </c>
      <c r="H310" s="67" t="s">
        <v>2321</v>
      </c>
      <c r="I310" s="67" t="s">
        <v>161</v>
      </c>
      <c r="J310" s="67" t="s">
        <v>649</v>
      </c>
      <c r="K310" s="67" t="s">
        <v>161</v>
      </c>
      <c r="L310" s="67" t="s">
        <v>2322</v>
      </c>
      <c r="M310" s="67" t="s">
        <v>2323</v>
      </c>
      <c r="N310" s="67" t="s">
        <v>2323</v>
      </c>
      <c r="O310" s="67" t="s">
        <v>165</v>
      </c>
      <c r="P310" s="67" t="s">
        <v>2324</v>
      </c>
    </row>
    <row r="311" s="43" customFormat="1" hidden="1" customHeight="1" spans="1:16">
      <c r="A311" s="67" t="s">
        <v>2325</v>
      </c>
      <c r="B311" s="67">
        <v>47.8</v>
      </c>
      <c r="C311" s="67">
        <v>4</v>
      </c>
      <c r="D311" s="67" t="s">
        <v>2326</v>
      </c>
      <c r="E311" s="67" t="s">
        <v>2327</v>
      </c>
      <c r="F311" s="67" t="s">
        <v>12</v>
      </c>
      <c r="G311" s="67" t="s">
        <v>2328</v>
      </c>
      <c r="H311" s="67" t="s">
        <v>2329</v>
      </c>
      <c r="I311" s="67" t="s">
        <v>161</v>
      </c>
      <c r="J311" s="67" t="s">
        <v>649</v>
      </c>
      <c r="K311" s="67" t="s">
        <v>161</v>
      </c>
      <c r="L311" s="67" t="s">
        <v>2330</v>
      </c>
      <c r="M311" s="67" t="s">
        <v>2331</v>
      </c>
      <c r="N311" s="67" t="s">
        <v>2331</v>
      </c>
      <c r="O311" s="67" t="s">
        <v>165</v>
      </c>
      <c r="P311" s="67" t="s">
        <v>2332</v>
      </c>
    </row>
    <row r="312" s="43" customFormat="1" customHeight="1" spans="1:16">
      <c r="A312" s="67" t="s">
        <v>2333</v>
      </c>
      <c r="B312" s="67">
        <v>59.65</v>
      </c>
      <c r="C312" s="67">
        <v>6</v>
      </c>
      <c r="D312" s="67" t="s">
        <v>2334</v>
      </c>
      <c r="E312" s="67" t="s">
        <v>2335</v>
      </c>
      <c r="F312" s="67" t="s">
        <v>78</v>
      </c>
      <c r="G312" s="67" t="s">
        <v>2336</v>
      </c>
      <c r="H312" s="67" t="s">
        <v>2337</v>
      </c>
      <c r="I312" s="67" t="s">
        <v>161</v>
      </c>
      <c r="J312" s="67" t="s">
        <v>161</v>
      </c>
      <c r="K312" s="67" t="s">
        <v>161</v>
      </c>
      <c r="L312" s="67" t="s">
        <v>2338</v>
      </c>
      <c r="M312" s="67" t="s">
        <v>2339</v>
      </c>
      <c r="N312" s="67" t="s">
        <v>2339</v>
      </c>
      <c r="O312" s="67" t="s">
        <v>165</v>
      </c>
      <c r="P312" s="67" t="s">
        <v>2264</v>
      </c>
    </row>
    <row r="313" s="43" customFormat="1" customHeight="1" spans="1:16">
      <c r="A313" s="67" t="s">
        <v>2340</v>
      </c>
      <c r="B313" s="67">
        <v>38.64</v>
      </c>
      <c r="C313" s="67">
        <v>4</v>
      </c>
      <c r="D313" s="67" t="s">
        <v>565</v>
      </c>
      <c r="E313" s="67" t="s">
        <v>2341</v>
      </c>
      <c r="F313" s="67" t="s">
        <v>98</v>
      </c>
      <c r="G313" s="67" t="s">
        <v>2342</v>
      </c>
      <c r="H313" s="67" t="s">
        <v>2343</v>
      </c>
      <c r="I313" s="67" t="s">
        <v>161</v>
      </c>
      <c r="J313" s="67" t="s">
        <v>161</v>
      </c>
      <c r="K313" s="67" t="s">
        <v>161</v>
      </c>
      <c r="L313" s="67" t="s">
        <v>2344</v>
      </c>
      <c r="M313" s="67" t="s">
        <v>2345</v>
      </c>
      <c r="N313" s="67" t="s">
        <v>2345</v>
      </c>
      <c r="O313" s="67" t="s">
        <v>165</v>
      </c>
      <c r="P313" s="67" t="s">
        <v>2346</v>
      </c>
    </row>
    <row r="314" s="43" customFormat="1" hidden="1" customHeight="1" spans="1:16">
      <c r="A314" s="67" t="s">
        <v>2347</v>
      </c>
      <c r="B314" s="67">
        <v>26.89</v>
      </c>
      <c r="C314" s="67">
        <v>2</v>
      </c>
      <c r="D314" s="67" t="s">
        <v>2165</v>
      </c>
      <c r="E314" s="67" t="s">
        <v>233</v>
      </c>
      <c r="F314" s="67" t="s">
        <v>12</v>
      </c>
      <c r="G314" s="67" t="s">
        <v>2348</v>
      </c>
      <c r="H314" s="67" t="s">
        <v>2349</v>
      </c>
      <c r="I314" s="67" t="s">
        <v>161</v>
      </c>
      <c r="J314" s="67" t="s">
        <v>649</v>
      </c>
      <c r="K314" s="67" t="s">
        <v>161</v>
      </c>
      <c r="L314" s="67" t="s">
        <v>2350</v>
      </c>
      <c r="M314" s="67" t="s">
        <v>2351</v>
      </c>
      <c r="N314" s="67" t="s">
        <v>2351</v>
      </c>
      <c r="O314" s="67" t="s">
        <v>165</v>
      </c>
      <c r="P314" s="67" t="s">
        <v>2352</v>
      </c>
    </row>
    <row r="315" s="43" customFormat="1" hidden="1" customHeight="1" spans="1:16">
      <c r="A315" s="67" t="s">
        <v>2353</v>
      </c>
      <c r="B315" s="67">
        <v>31.79</v>
      </c>
      <c r="C315" s="67">
        <v>3</v>
      </c>
      <c r="D315" s="67" t="s">
        <v>2354</v>
      </c>
      <c r="E315" s="67" t="s">
        <v>2355</v>
      </c>
      <c r="F315" s="67" t="s">
        <v>12</v>
      </c>
      <c r="G315" s="67" t="s">
        <v>2356</v>
      </c>
      <c r="H315" s="67" t="s">
        <v>2357</v>
      </c>
      <c r="I315" s="67" t="s">
        <v>161</v>
      </c>
      <c r="J315" s="67" t="s">
        <v>649</v>
      </c>
      <c r="K315" s="67" t="s">
        <v>161</v>
      </c>
      <c r="L315" s="67" t="s">
        <v>2358</v>
      </c>
      <c r="M315" s="67" t="s">
        <v>2359</v>
      </c>
      <c r="N315" s="67" t="s">
        <v>2359</v>
      </c>
      <c r="O315" s="67" t="s">
        <v>165</v>
      </c>
      <c r="P315" s="67" t="s">
        <v>2360</v>
      </c>
    </row>
    <row r="316" s="43" customFormat="1" hidden="1" customHeight="1" spans="1:16">
      <c r="A316" s="67" t="s">
        <v>2361</v>
      </c>
      <c r="B316" s="67">
        <v>35.75</v>
      </c>
      <c r="C316" s="67">
        <v>4</v>
      </c>
      <c r="D316" s="67" t="s">
        <v>2362</v>
      </c>
      <c r="E316" s="67" t="s">
        <v>2363</v>
      </c>
      <c r="F316" s="67" t="s">
        <v>12</v>
      </c>
      <c r="G316" s="67" t="s">
        <v>2364</v>
      </c>
      <c r="H316" s="67" t="s">
        <v>2365</v>
      </c>
      <c r="I316" s="67" t="s">
        <v>161</v>
      </c>
      <c r="J316" s="67" t="s">
        <v>649</v>
      </c>
      <c r="K316" s="67" t="s">
        <v>161</v>
      </c>
      <c r="L316" s="67" t="s">
        <v>2366</v>
      </c>
      <c r="M316" s="67" t="s">
        <v>2367</v>
      </c>
      <c r="N316" s="67" t="s">
        <v>2367</v>
      </c>
      <c r="O316" s="67" t="s">
        <v>165</v>
      </c>
      <c r="P316" s="67" t="s">
        <v>2368</v>
      </c>
    </row>
    <row r="317" s="43" customFormat="1" hidden="1" customHeight="1" spans="1:16">
      <c r="A317" s="67" t="s">
        <v>2369</v>
      </c>
      <c r="B317" s="67">
        <v>47.8</v>
      </c>
      <c r="C317" s="67">
        <v>4</v>
      </c>
      <c r="D317" s="67" t="s">
        <v>2370</v>
      </c>
      <c r="E317" s="67" t="s">
        <v>586</v>
      </c>
      <c r="F317" s="67" t="s">
        <v>12</v>
      </c>
      <c r="G317" s="67" t="s">
        <v>2371</v>
      </c>
      <c r="H317" s="67" t="s">
        <v>2372</v>
      </c>
      <c r="I317" s="67" t="s">
        <v>161</v>
      </c>
      <c r="J317" s="67" t="s">
        <v>649</v>
      </c>
      <c r="K317" s="67" t="s">
        <v>161</v>
      </c>
      <c r="L317" s="67" t="s">
        <v>2373</v>
      </c>
      <c r="M317" s="67" t="s">
        <v>2374</v>
      </c>
      <c r="N317" s="67" t="s">
        <v>2374</v>
      </c>
      <c r="O317" s="67" t="s">
        <v>165</v>
      </c>
      <c r="P317" s="67" t="s">
        <v>2375</v>
      </c>
    </row>
    <row r="318" s="43" customFormat="1" hidden="1" customHeight="1" spans="1:16">
      <c r="A318" s="67" t="s">
        <v>2376</v>
      </c>
      <c r="B318" s="67">
        <v>52.7</v>
      </c>
      <c r="C318" s="67">
        <v>5</v>
      </c>
      <c r="D318" s="67" t="s">
        <v>2377</v>
      </c>
      <c r="E318" s="67" t="s">
        <v>2259</v>
      </c>
      <c r="F318" s="67" t="s">
        <v>12</v>
      </c>
      <c r="G318" s="67" t="s">
        <v>2378</v>
      </c>
      <c r="H318" s="67" t="s">
        <v>2379</v>
      </c>
      <c r="I318" s="67" t="s">
        <v>161</v>
      </c>
      <c r="J318" s="67" t="s">
        <v>649</v>
      </c>
      <c r="K318" s="67" t="s">
        <v>161</v>
      </c>
      <c r="L318" s="67" t="s">
        <v>2380</v>
      </c>
      <c r="M318" s="67" t="s">
        <v>2381</v>
      </c>
      <c r="N318" s="67" t="s">
        <v>2381</v>
      </c>
      <c r="O318" s="67" t="s">
        <v>165</v>
      </c>
      <c r="P318" s="67" t="s">
        <v>2382</v>
      </c>
    </row>
    <row r="319" s="43" customFormat="1" customHeight="1" spans="1:16">
      <c r="A319" s="67" t="s">
        <v>2383</v>
      </c>
      <c r="B319" s="67">
        <v>63.34</v>
      </c>
      <c r="C319" s="67">
        <v>7</v>
      </c>
      <c r="D319" s="67" t="s">
        <v>601</v>
      </c>
      <c r="E319" s="67" t="s">
        <v>2158</v>
      </c>
      <c r="F319" s="67" t="s">
        <v>98</v>
      </c>
      <c r="G319" s="67" t="s">
        <v>2384</v>
      </c>
      <c r="H319" s="67" t="s">
        <v>2385</v>
      </c>
      <c r="I319" s="67" t="s">
        <v>161</v>
      </c>
      <c r="J319" s="67" t="s">
        <v>161</v>
      </c>
      <c r="K319" s="67" t="s">
        <v>161</v>
      </c>
      <c r="L319" s="67" t="s">
        <v>2386</v>
      </c>
      <c r="M319" s="67" t="s">
        <v>2387</v>
      </c>
      <c r="N319" s="67" t="s">
        <v>2387</v>
      </c>
      <c r="O319" s="67" t="s">
        <v>165</v>
      </c>
      <c r="P319" s="67" t="s">
        <v>2388</v>
      </c>
    </row>
    <row r="320" s="43" customFormat="1" customHeight="1" spans="1:16">
      <c r="A320" s="67" t="s">
        <v>2389</v>
      </c>
      <c r="B320" s="67">
        <v>30.71</v>
      </c>
      <c r="C320" s="67">
        <v>3</v>
      </c>
      <c r="D320" s="67" t="s">
        <v>173</v>
      </c>
      <c r="E320" s="67" t="s">
        <v>869</v>
      </c>
      <c r="F320" s="67" t="s">
        <v>12</v>
      </c>
      <c r="G320" s="67" t="s">
        <v>2390</v>
      </c>
      <c r="H320" s="67" t="s">
        <v>2391</v>
      </c>
      <c r="I320" s="67" t="s">
        <v>161</v>
      </c>
      <c r="J320" s="67" t="s">
        <v>161</v>
      </c>
      <c r="K320" s="67" t="s">
        <v>161</v>
      </c>
      <c r="L320" s="67" t="s">
        <v>2392</v>
      </c>
      <c r="M320" s="67" t="s">
        <v>2393</v>
      </c>
      <c r="N320" s="67" t="s">
        <v>2393</v>
      </c>
      <c r="O320" s="67" t="s">
        <v>165</v>
      </c>
      <c r="P320" s="67" t="s">
        <v>2394</v>
      </c>
    </row>
    <row r="321" s="43" customFormat="1" customHeight="1" spans="1:16">
      <c r="A321" s="67" t="s">
        <v>2395</v>
      </c>
      <c r="B321" s="67">
        <v>33.7</v>
      </c>
      <c r="C321" s="67">
        <v>4</v>
      </c>
      <c r="D321" s="67" t="s">
        <v>2243</v>
      </c>
      <c r="E321" s="67" t="s">
        <v>2396</v>
      </c>
      <c r="F321" s="67" t="s">
        <v>78</v>
      </c>
      <c r="G321" s="67" t="s">
        <v>2397</v>
      </c>
      <c r="H321" s="67" t="s">
        <v>2398</v>
      </c>
      <c r="I321" s="67" t="s">
        <v>161</v>
      </c>
      <c r="J321" s="67" t="s">
        <v>161</v>
      </c>
      <c r="K321" s="67" t="s">
        <v>161</v>
      </c>
      <c r="L321" s="67" t="s">
        <v>2399</v>
      </c>
      <c r="M321" s="67" t="s">
        <v>2400</v>
      </c>
      <c r="N321" s="67" t="s">
        <v>2400</v>
      </c>
      <c r="O321" s="67" t="s">
        <v>165</v>
      </c>
      <c r="P321" s="67" t="s">
        <v>2264</v>
      </c>
    </row>
    <row r="322" s="43" customFormat="1" hidden="1" customHeight="1" spans="1:16">
      <c r="A322" s="67" t="s">
        <v>2401</v>
      </c>
      <c r="B322" s="67">
        <v>27.89</v>
      </c>
      <c r="C322" s="67">
        <v>2</v>
      </c>
      <c r="D322" s="67" t="s">
        <v>2402</v>
      </c>
      <c r="E322" s="67" t="s">
        <v>2403</v>
      </c>
      <c r="F322" s="67" t="s">
        <v>12</v>
      </c>
      <c r="G322" s="67" t="s">
        <v>2404</v>
      </c>
      <c r="H322" s="67" t="s">
        <v>2405</v>
      </c>
      <c r="I322" s="67" t="s">
        <v>161</v>
      </c>
      <c r="J322" s="67" t="s">
        <v>649</v>
      </c>
      <c r="K322" s="67" t="s">
        <v>161</v>
      </c>
      <c r="L322" s="67" t="s">
        <v>2406</v>
      </c>
      <c r="M322" s="67" t="s">
        <v>2407</v>
      </c>
      <c r="N322" s="67" t="s">
        <v>2407</v>
      </c>
      <c r="O322" s="67" t="s">
        <v>165</v>
      </c>
      <c r="P322" s="67" t="s">
        <v>2408</v>
      </c>
    </row>
    <row r="323" s="43" customFormat="1" customHeight="1" spans="1:16">
      <c r="A323" s="67" t="s">
        <v>2409</v>
      </c>
      <c r="B323" s="67">
        <v>71.4</v>
      </c>
      <c r="C323" s="67">
        <v>7</v>
      </c>
      <c r="D323" s="67" t="s">
        <v>2410</v>
      </c>
      <c r="E323" s="67" t="s">
        <v>2411</v>
      </c>
      <c r="F323" s="67" t="s">
        <v>12</v>
      </c>
      <c r="G323" s="67" t="s">
        <v>2412</v>
      </c>
      <c r="H323" s="67" t="s">
        <v>2413</v>
      </c>
      <c r="I323" s="67" t="s">
        <v>161</v>
      </c>
      <c r="J323" s="67" t="s">
        <v>161</v>
      </c>
      <c r="K323" s="67" t="s">
        <v>161</v>
      </c>
      <c r="L323" s="67" t="s">
        <v>2414</v>
      </c>
      <c r="M323" s="67" t="s">
        <v>2415</v>
      </c>
      <c r="N323" s="67" t="s">
        <v>2415</v>
      </c>
      <c r="O323" s="67" t="s">
        <v>165</v>
      </c>
      <c r="P323" s="67" t="s">
        <v>2416</v>
      </c>
    </row>
    <row r="324" s="43" customFormat="1" hidden="1" customHeight="1" spans="1:16">
      <c r="A324" s="67" t="s">
        <v>2417</v>
      </c>
      <c r="B324" s="67">
        <v>30.85</v>
      </c>
      <c r="C324" s="67">
        <v>3</v>
      </c>
      <c r="D324" s="67" t="s">
        <v>2418</v>
      </c>
      <c r="E324" s="67" t="s">
        <v>2419</v>
      </c>
      <c r="F324" s="67" t="s">
        <v>12</v>
      </c>
      <c r="G324" s="67" t="s">
        <v>2420</v>
      </c>
      <c r="H324" s="67" t="s">
        <v>2421</v>
      </c>
      <c r="I324" s="67" t="s">
        <v>161</v>
      </c>
      <c r="J324" s="67" t="s">
        <v>649</v>
      </c>
      <c r="K324" s="67" t="s">
        <v>161</v>
      </c>
      <c r="L324" s="67" t="s">
        <v>2422</v>
      </c>
      <c r="M324" s="67" t="s">
        <v>2423</v>
      </c>
      <c r="N324" s="67" t="s">
        <v>2423</v>
      </c>
      <c r="O324" s="67" t="s">
        <v>165</v>
      </c>
      <c r="P324" s="67" t="s">
        <v>2424</v>
      </c>
    </row>
    <row r="325" s="43" customFormat="1" hidden="1" customHeight="1" spans="1:16">
      <c r="A325" s="67" t="s">
        <v>2425</v>
      </c>
      <c r="B325" s="67">
        <v>37.8</v>
      </c>
      <c r="C325" s="67">
        <v>4</v>
      </c>
      <c r="D325" s="67" t="s">
        <v>2426</v>
      </c>
      <c r="E325" s="67" t="s">
        <v>1555</v>
      </c>
      <c r="F325" s="67" t="s">
        <v>12</v>
      </c>
      <c r="G325" s="67" t="s">
        <v>2427</v>
      </c>
      <c r="H325" s="67" t="s">
        <v>2428</v>
      </c>
      <c r="I325" s="67" t="s">
        <v>161</v>
      </c>
      <c r="J325" s="67" t="s">
        <v>649</v>
      </c>
      <c r="K325" s="67" t="s">
        <v>161</v>
      </c>
      <c r="L325" s="67" t="s">
        <v>2429</v>
      </c>
      <c r="M325" s="67" t="s">
        <v>2430</v>
      </c>
      <c r="N325" s="67" t="s">
        <v>2430</v>
      </c>
      <c r="O325" s="67" t="s">
        <v>165</v>
      </c>
      <c r="P325" s="67" t="s">
        <v>2431</v>
      </c>
    </row>
    <row r="326" s="43" customFormat="1" hidden="1" customHeight="1" spans="1:16">
      <c r="A326" s="67" t="s">
        <v>2432</v>
      </c>
      <c r="B326" s="67">
        <v>59.65</v>
      </c>
      <c r="C326" s="67">
        <v>6</v>
      </c>
      <c r="D326" s="67" t="s">
        <v>2433</v>
      </c>
      <c r="E326" s="67" t="s">
        <v>2434</v>
      </c>
      <c r="F326" s="67" t="s">
        <v>12</v>
      </c>
      <c r="G326" s="67" t="s">
        <v>2435</v>
      </c>
      <c r="H326" s="67" t="s">
        <v>2436</v>
      </c>
      <c r="I326" s="67" t="s">
        <v>161</v>
      </c>
      <c r="J326" s="67" t="s">
        <v>649</v>
      </c>
      <c r="K326" s="67" t="s">
        <v>161</v>
      </c>
      <c r="L326" s="67" t="s">
        <v>2437</v>
      </c>
      <c r="M326" s="67" t="s">
        <v>2438</v>
      </c>
      <c r="N326" s="67" t="s">
        <v>2438</v>
      </c>
      <c r="O326" s="67" t="s">
        <v>165</v>
      </c>
      <c r="P326" s="67" t="s">
        <v>2439</v>
      </c>
    </row>
    <row r="327" s="43" customFormat="1" customHeight="1" spans="1:16">
      <c r="A327" s="67" t="s">
        <v>2440</v>
      </c>
      <c r="B327" s="67">
        <v>43.15</v>
      </c>
      <c r="C327" s="67">
        <v>4</v>
      </c>
      <c r="D327" s="67" t="s">
        <v>2441</v>
      </c>
      <c r="E327" s="67" t="s">
        <v>2442</v>
      </c>
      <c r="F327" s="67" t="s">
        <v>12</v>
      </c>
      <c r="G327" s="67" t="s">
        <v>2443</v>
      </c>
      <c r="H327" s="67" t="s">
        <v>2444</v>
      </c>
      <c r="I327" s="67" t="s">
        <v>161</v>
      </c>
      <c r="J327" s="67" t="s">
        <v>161</v>
      </c>
      <c r="K327" s="67" t="s">
        <v>161</v>
      </c>
      <c r="L327" s="67" t="s">
        <v>2445</v>
      </c>
      <c r="M327" s="67" t="s">
        <v>2446</v>
      </c>
      <c r="N327" s="67" t="s">
        <v>2446</v>
      </c>
      <c r="O327" s="67" t="s">
        <v>165</v>
      </c>
      <c r="P327" s="67" t="s">
        <v>2447</v>
      </c>
    </row>
    <row r="328" s="43" customFormat="1" hidden="1" customHeight="1" spans="1:16">
      <c r="A328" s="67" t="s">
        <v>2448</v>
      </c>
      <c r="B328" s="67">
        <v>27.89</v>
      </c>
      <c r="C328" s="67">
        <v>1</v>
      </c>
      <c r="D328" s="67" t="s">
        <v>2449</v>
      </c>
      <c r="E328" s="67" t="s">
        <v>2450</v>
      </c>
      <c r="F328" s="67" t="s">
        <v>12</v>
      </c>
      <c r="G328" s="67" t="s">
        <v>2451</v>
      </c>
      <c r="H328" s="67" t="s">
        <v>2452</v>
      </c>
      <c r="I328" s="67" t="s">
        <v>161</v>
      </c>
      <c r="J328" s="67" t="s">
        <v>649</v>
      </c>
      <c r="K328" s="67" t="s">
        <v>161</v>
      </c>
      <c r="L328" s="67" t="s">
        <v>2453</v>
      </c>
      <c r="M328" s="67" t="s">
        <v>2454</v>
      </c>
      <c r="N328" s="67" t="s">
        <v>2454</v>
      </c>
      <c r="O328" s="67" t="s">
        <v>165</v>
      </c>
      <c r="P328" s="67" t="s">
        <v>2455</v>
      </c>
    </row>
    <row r="329" s="43" customFormat="1" hidden="1" customHeight="1" spans="1:16">
      <c r="A329" s="67" t="s">
        <v>2456</v>
      </c>
      <c r="B329" s="67">
        <v>30.85</v>
      </c>
      <c r="C329" s="67">
        <v>3</v>
      </c>
      <c r="D329" s="67" t="s">
        <v>2030</v>
      </c>
      <c r="E329" s="67" t="s">
        <v>247</v>
      </c>
      <c r="F329" s="67" t="s">
        <v>12</v>
      </c>
      <c r="G329" s="67" t="s">
        <v>2457</v>
      </c>
      <c r="H329" s="67" t="s">
        <v>2458</v>
      </c>
      <c r="I329" s="67" t="s">
        <v>161</v>
      </c>
      <c r="J329" s="67" t="s">
        <v>649</v>
      </c>
      <c r="K329" s="67" t="s">
        <v>161</v>
      </c>
      <c r="L329" s="67" t="s">
        <v>2459</v>
      </c>
      <c r="M329" s="67" t="s">
        <v>2460</v>
      </c>
      <c r="N329" s="67" t="s">
        <v>2460</v>
      </c>
      <c r="O329" s="67" t="s">
        <v>165</v>
      </c>
      <c r="P329" s="67" t="s">
        <v>2461</v>
      </c>
    </row>
    <row r="330" s="43" customFormat="1" hidden="1" customHeight="1" spans="1:16">
      <c r="A330" s="67" t="s">
        <v>2462</v>
      </c>
      <c r="B330" s="67">
        <v>25.7</v>
      </c>
      <c r="C330" s="67">
        <v>2</v>
      </c>
      <c r="D330" s="67" t="s">
        <v>2463</v>
      </c>
      <c r="E330" s="67" t="s">
        <v>814</v>
      </c>
      <c r="F330" s="67" t="s">
        <v>12</v>
      </c>
      <c r="G330" s="67" t="s">
        <v>2464</v>
      </c>
      <c r="H330" s="67" t="s">
        <v>2465</v>
      </c>
      <c r="I330" s="67" t="s">
        <v>161</v>
      </c>
      <c r="J330" s="67" t="s">
        <v>649</v>
      </c>
      <c r="K330" s="67" t="s">
        <v>161</v>
      </c>
      <c r="L330" s="67" t="s">
        <v>2466</v>
      </c>
      <c r="M330" s="67" t="s">
        <v>2467</v>
      </c>
      <c r="N330" s="67" t="s">
        <v>2467</v>
      </c>
      <c r="O330" s="67" t="s">
        <v>165</v>
      </c>
      <c r="P330" s="67" t="s">
        <v>2468</v>
      </c>
    </row>
    <row r="331" s="43" customFormat="1" customHeight="1" spans="1:16">
      <c r="A331" s="67" t="s">
        <v>2469</v>
      </c>
      <c r="B331" s="67">
        <v>78.85</v>
      </c>
      <c r="C331" s="67">
        <v>11</v>
      </c>
      <c r="D331" s="67" t="s">
        <v>2470</v>
      </c>
      <c r="E331" s="67" t="s">
        <v>2471</v>
      </c>
      <c r="F331" s="67" t="s">
        <v>12</v>
      </c>
      <c r="G331" s="67" t="s">
        <v>2472</v>
      </c>
      <c r="H331" s="67" t="s">
        <v>2473</v>
      </c>
      <c r="I331" s="67" t="s">
        <v>161</v>
      </c>
      <c r="J331" s="67" t="s">
        <v>161</v>
      </c>
      <c r="K331" s="67" t="s">
        <v>161</v>
      </c>
      <c r="L331" s="67" t="s">
        <v>2474</v>
      </c>
      <c r="M331" s="67" t="s">
        <v>2475</v>
      </c>
      <c r="N331" s="67" t="s">
        <v>2475</v>
      </c>
      <c r="O331" s="67" t="s">
        <v>165</v>
      </c>
      <c r="P331" s="67" t="s">
        <v>2476</v>
      </c>
    </row>
    <row r="332" s="43" customFormat="1" customHeight="1" spans="1:16">
      <c r="A332" s="67" t="s">
        <v>2477</v>
      </c>
      <c r="B332" s="67">
        <v>31.28</v>
      </c>
      <c r="C332" s="67">
        <v>3</v>
      </c>
      <c r="D332" s="67" t="s">
        <v>1038</v>
      </c>
      <c r="E332" s="67" t="s">
        <v>2478</v>
      </c>
      <c r="F332" s="67" t="s">
        <v>98</v>
      </c>
      <c r="G332" s="67" t="s">
        <v>2479</v>
      </c>
      <c r="H332" s="67" t="s">
        <v>2480</v>
      </c>
      <c r="I332" s="67" t="s">
        <v>161</v>
      </c>
      <c r="J332" s="67" t="s">
        <v>161</v>
      </c>
      <c r="K332" s="67" t="s">
        <v>161</v>
      </c>
      <c r="L332" s="67" t="s">
        <v>2481</v>
      </c>
      <c r="M332" s="67" t="s">
        <v>2482</v>
      </c>
      <c r="N332" s="67" t="s">
        <v>2482</v>
      </c>
      <c r="O332" s="67" t="s">
        <v>165</v>
      </c>
      <c r="P332" s="67" t="s">
        <v>2483</v>
      </c>
    </row>
    <row r="333" s="43" customFormat="1" customHeight="1" spans="1:16">
      <c r="A333" s="67" t="s">
        <v>2484</v>
      </c>
      <c r="B333" s="67">
        <v>29.12</v>
      </c>
      <c r="C333" s="67">
        <v>2</v>
      </c>
      <c r="D333" s="67" t="s">
        <v>232</v>
      </c>
      <c r="E333" s="67" t="s">
        <v>233</v>
      </c>
      <c r="F333" s="67" t="s">
        <v>98</v>
      </c>
      <c r="G333" s="67" t="s">
        <v>2485</v>
      </c>
      <c r="H333" s="67" t="s">
        <v>2486</v>
      </c>
      <c r="I333" s="67" t="s">
        <v>161</v>
      </c>
      <c r="J333" s="67" t="s">
        <v>161</v>
      </c>
      <c r="K333" s="67" t="s">
        <v>161</v>
      </c>
      <c r="L333" s="67" t="s">
        <v>2487</v>
      </c>
      <c r="M333" s="67" t="s">
        <v>2488</v>
      </c>
      <c r="N333" s="67" t="s">
        <v>2488</v>
      </c>
      <c r="O333" s="67" t="s">
        <v>165</v>
      </c>
      <c r="P333" s="67" t="s">
        <v>2489</v>
      </c>
    </row>
    <row r="334" s="43" customFormat="1" hidden="1" customHeight="1" spans="1:16">
      <c r="A334" s="67" t="s">
        <v>2490</v>
      </c>
      <c r="B334" s="67">
        <v>31.79</v>
      </c>
      <c r="C334" s="67">
        <v>3</v>
      </c>
      <c r="D334" s="67" t="s">
        <v>2491</v>
      </c>
      <c r="E334" s="67" t="s">
        <v>2492</v>
      </c>
      <c r="F334" s="67" t="s">
        <v>12</v>
      </c>
      <c r="G334" s="67" t="s">
        <v>2493</v>
      </c>
      <c r="H334" s="67" t="s">
        <v>2494</v>
      </c>
      <c r="I334" s="67" t="s">
        <v>161</v>
      </c>
      <c r="J334" s="67" t="s">
        <v>649</v>
      </c>
      <c r="K334" s="67" t="s">
        <v>161</v>
      </c>
      <c r="L334" s="67" t="s">
        <v>2495</v>
      </c>
      <c r="M334" s="67" t="s">
        <v>2496</v>
      </c>
      <c r="N334" s="67" t="s">
        <v>2496</v>
      </c>
      <c r="O334" s="67" t="s">
        <v>165</v>
      </c>
      <c r="P334" s="67" t="s">
        <v>2497</v>
      </c>
    </row>
    <row r="335" s="43" customFormat="1" hidden="1" customHeight="1" spans="1:16">
      <c r="A335" s="67" t="s">
        <v>2498</v>
      </c>
      <c r="B335" s="67">
        <v>59.65</v>
      </c>
      <c r="C335" s="67">
        <v>6</v>
      </c>
      <c r="D335" s="67" t="s">
        <v>2499</v>
      </c>
      <c r="E335" s="67" t="s">
        <v>2500</v>
      </c>
      <c r="F335" s="67" t="s">
        <v>12</v>
      </c>
      <c r="G335" s="67" t="s">
        <v>2501</v>
      </c>
      <c r="H335" s="67" t="s">
        <v>2502</v>
      </c>
      <c r="I335" s="67" t="s">
        <v>161</v>
      </c>
      <c r="J335" s="67" t="s">
        <v>649</v>
      </c>
      <c r="K335" s="67" t="s">
        <v>161</v>
      </c>
      <c r="L335" s="67" t="s">
        <v>2503</v>
      </c>
      <c r="M335" s="67" t="s">
        <v>2504</v>
      </c>
      <c r="N335" s="67" t="s">
        <v>2504</v>
      </c>
      <c r="O335" s="67" t="s">
        <v>165</v>
      </c>
      <c r="P335" s="67" t="s">
        <v>2505</v>
      </c>
    </row>
    <row r="336" s="43" customFormat="1" hidden="1" customHeight="1" spans="1:16">
      <c r="A336" s="67" t="s">
        <v>2506</v>
      </c>
      <c r="B336" s="67">
        <v>26.89</v>
      </c>
      <c r="C336" s="67">
        <v>2</v>
      </c>
      <c r="D336" s="67" t="s">
        <v>2165</v>
      </c>
      <c r="E336" s="67" t="s">
        <v>233</v>
      </c>
      <c r="F336" s="67" t="s">
        <v>12</v>
      </c>
      <c r="G336" s="67" t="s">
        <v>2507</v>
      </c>
      <c r="H336" s="67" t="s">
        <v>2508</v>
      </c>
      <c r="I336" s="67" t="s">
        <v>161</v>
      </c>
      <c r="J336" s="67" t="s">
        <v>649</v>
      </c>
      <c r="K336" s="67" t="s">
        <v>161</v>
      </c>
      <c r="L336" s="67" t="s">
        <v>2509</v>
      </c>
      <c r="M336" s="67" t="s">
        <v>2510</v>
      </c>
      <c r="N336" s="67" t="s">
        <v>2510</v>
      </c>
      <c r="O336" s="67" t="s">
        <v>165</v>
      </c>
      <c r="P336" s="67" t="s">
        <v>2511</v>
      </c>
    </row>
    <row r="337" s="43" customFormat="1" customHeight="1" spans="1:16">
      <c r="A337" s="67" t="s">
        <v>2512</v>
      </c>
      <c r="B337" s="67">
        <v>71.4</v>
      </c>
      <c r="C337" s="67">
        <v>8</v>
      </c>
      <c r="D337" s="67" t="s">
        <v>2513</v>
      </c>
      <c r="E337" s="67" t="s">
        <v>2514</v>
      </c>
      <c r="F337" s="67" t="s">
        <v>12</v>
      </c>
      <c r="G337" s="67" t="s">
        <v>2515</v>
      </c>
      <c r="H337" s="67" t="s">
        <v>2516</v>
      </c>
      <c r="I337" s="67" t="s">
        <v>161</v>
      </c>
      <c r="J337" s="67" t="s">
        <v>161</v>
      </c>
      <c r="K337" s="67" t="s">
        <v>161</v>
      </c>
      <c r="L337" s="67" t="s">
        <v>2517</v>
      </c>
      <c r="M337" s="67" t="s">
        <v>2518</v>
      </c>
      <c r="N337" s="67" t="s">
        <v>2518</v>
      </c>
      <c r="O337" s="67" t="s">
        <v>165</v>
      </c>
      <c r="P337" s="67" t="s">
        <v>2519</v>
      </c>
    </row>
    <row r="338" s="43" customFormat="1" customHeight="1" spans="1:16">
      <c r="A338" s="67" t="s">
        <v>2520</v>
      </c>
      <c r="B338" s="67">
        <v>47.55</v>
      </c>
      <c r="C338" s="67">
        <v>6</v>
      </c>
      <c r="D338" s="67" t="s">
        <v>2521</v>
      </c>
      <c r="E338" s="67" t="s">
        <v>2522</v>
      </c>
      <c r="F338" s="67" t="s">
        <v>12</v>
      </c>
      <c r="G338" s="67" t="s">
        <v>2523</v>
      </c>
      <c r="H338" s="67" t="s">
        <v>2524</v>
      </c>
      <c r="I338" s="67" t="s">
        <v>161</v>
      </c>
      <c r="J338" s="67" t="s">
        <v>161</v>
      </c>
      <c r="K338" s="67" t="s">
        <v>161</v>
      </c>
      <c r="L338" s="67" t="s">
        <v>2525</v>
      </c>
      <c r="M338" s="67" t="s">
        <v>2526</v>
      </c>
      <c r="N338" s="67" t="s">
        <v>2526</v>
      </c>
      <c r="O338" s="67" t="s">
        <v>165</v>
      </c>
      <c r="P338" s="67" t="s">
        <v>2527</v>
      </c>
    </row>
    <row r="339" s="43" customFormat="1" hidden="1" customHeight="1" spans="1:16">
      <c r="A339" s="67" t="s">
        <v>2528</v>
      </c>
      <c r="B339" s="67">
        <v>65.05</v>
      </c>
      <c r="C339" s="67">
        <v>7</v>
      </c>
      <c r="D339" s="67" t="s">
        <v>2529</v>
      </c>
      <c r="E339" s="67" t="s">
        <v>2530</v>
      </c>
      <c r="F339" s="67" t="s">
        <v>12</v>
      </c>
      <c r="G339" s="67" t="s">
        <v>2531</v>
      </c>
      <c r="H339" s="67" t="s">
        <v>2532</v>
      </c>
      <c r="I339" s="67" t="s">
        <v>161</v>
      </c>
      <c r="J339" s="67" t="s">
        <v>649</v>
      </c>
      <c r="K339" s="67" t="s">
        <v>161</v>
      </c>
      <c r="L339" s="67" t="s">
        <v>2533</v>
      </c>
      <c r="M339" s="67" t="s">
        <v>2534</v>
      </c>
      <c r="N339" s="67" t="s">
        <v>2534</v>
      </c>
      <c r="O339" s="67" t="s">
        <v>165</v>
      </c>
      <c r="P339" s="67" t="s">
        <v>2535</v>
      </c>
    </row>
    <row r="340" s="43" customFormat="1" customHeight="1" spans="1:16">
      <c r="A340" s="67" t="s">
        <v>2536</v>
      </c>
      <c r="B340" s="67">
        <v>50.39</v>
      </c>
      <c r="C340" s="67">
        <v>6</v>
      </c>
      <c r="D340" s="67" t="s">
        <v>2537</v>
      </c>
      <c r="E340" s="67" t="s">
        <v>2538</v>
      </c>
      <c r="F340" s="67" t="s">
        <v>90</v>
      </c>
      <c r="G340" s="67" t="s">
        <v>2539</v>
      </c>
      <c r="H340" s="67" t="s">
        <v>2540</v>
      </c>
      <c r="I340" s="67" t="s">
        <v>161</v>
      </c>
      <c r="J340" s="67" t="s">
        <v>161</v>
      </c>
      <c r="K340" s="67" t="s">
        <v>161</v>
      </c>
      <c r="L340" s="67" t="s">
        <v>2541</v>
      </c>
      <c r="M340" s="67" t="s">
        <v>2542</v>
      </c>
      <c r="N340" s="67" t="s">
        <v>2542</v>
      </c>
      <c r="O340" s="67" t="s">
        <v>165</v>
      </c>
      <c r="P340" s="67" t="s">
        <v>2543</v>
      </c>
    </row>
    <row r="341" s="43" customFormat="1" hidden="1" customHeight="1" spans="1:16">
      <c r="A341" s="67" t="s">
        <v>2544</v>
      </c>
      <c r="B341" s="67">
        <v>26.89</v>
      </c>
      <c r="C341" s="67">
        <v>2</v>
      </c>
      <c r="D341" s="67" t="s">
        <v>2545</v>
      </c>
      <c r="E341" s="67" t="s">
        <v>2546</v>
      </c>
      <c r="F341" s="67" t="s">
        <v>12</v>
      </c>
      <c r="G341" s="67" t="s">
        <v>2547</v>
      </c>
      <c r="H341" s="67" t="s">
        <v>2548</v>
      </c>
      <c r="I341" s="67" t="s">
        <v>161</v>
      </c>
      <c r="J341" s="67" t="s">
        <v>649</v>
      </c>
      <c r="K341" s="67" t="s">
        <v>161</v>
      </c>
      <c r="L341" s="67" t="s">
        <v>2549</v>
      </c>
      <c r="M341" s="67" t="s">
        <v>2550</v>
      </c>
      <c r="N341" s="67" t="s">
        <v>2550</v>
      </c>
      <c r="O341" s="67" t="s">
        <v>165</v>
      </c>
      <c r="P341" s="67" t="s">
        <v>2551</v>
      </c>
    </row>
    <row r="342" s="43" customFormat="1" hidden="1" customHeight="1" spans="1:16">
      <c r="A342" s="67" t="s">
        <v>2552</v>
      </c>
      <c r="B342" s="67">
        <v>31.79</v>
      </c>
      <c r="C342" s="67">
        <v>3</v>
      </c>
      <c r="D342" s="67" t="s">
        <v>2553</v>
      </c>
      <c r="E342" s="67" t="s">
        <v>2554</v>
      </c>
      <c r="F342" s="67" t="s">
        <v>12</v>
      </c>
      <c r="G342" s="67" t="s">
        <v>2555</v>
      </c>
      <c r="H342" s="67" t="s">
        <v>2556</v>
      </c>
      <c r="I342" s="67" t="s">
        <v>161</v>
      </c>
      <c r="J342" s="67" t="s">
        <v>649</v>
      </c>
      <c r="K342" s="67" t="s">
        <v>161</v>
      </c>
      <c r="L342" s="67" t="s">
        <v>2557</v>
      </c>
      <c r="M342" s="67" t="s">
        <v>2558</v>
      </c>
      <c r="N342" s="67" t="s">
        <v>2558</v>
      </c>
      <c r="O342" s="67" t="s">
        <v>165</v>
      </c>
      <c r="P342" s="67" t="s">
        <v>2559</v>
      </c>
    </row>
    <row r="343" s="43" customFormat="1" hidden="1" customHeight="1" spans="1:16">
      <c r="A343" s="67" t="s">
        <v>2560</v>
      </c>
      <c r="B343" s="67">
        <v>47.8</v>
      </c>
      <c r="C343" s="67">
        <v>3</v>
      </c>
      <c r="D343" s="67" t="s">
        <v>2561</v>
      </c>
      <c r="E343" s="67" t="s">
        <v>269</v>
      </c>
      <c r="F343" s="67" t="s">
        <v>12</v>
      </c>
      <c r="G343" s="67" t="s">
        <v>2562</v>
      </c>
      <c r="H343" s="67" t="s">
        <v>2563</v>
      </c>
      <c r="I343" s="67" t="s">
        <v>161</v>
      </c>
      <c r="J343" s="67" t="s">
        <v>649</v>
      </c>
      <c r="K343" s="67" t="s">
        <v>161</v>
      </c>
      <c r="L343" s="67" t="s">
        <v>2564</v>
      </c>
      <c r="M343" s="67" t="s">
        <v>2565</v>
      </c>
      <c r="N343" s="67" t="s">
        <v>2565</v>
      </c>
      <c r="O343" s="67" t="s">
        <v>165</v>
      </c>
      <c r="P343" s="67" t="s">
        <v>2566</v>
      </c>
    </row>
    <row r="344" s="43" customFormat="1" hidden="1" customHeight="1" spans="1:16">
      <c r="A344" s="67" t="s">
        <v>2567</v>
      </c>
      <c r="B344" s="67">
        <v>26.89</v>
      </c>
      <c r="C344" s="67">
        <v>2</v>
      </c>
      <c r="D344" s="67" t="s">
        <v>2165</v>
      </c>
      <c r="E344" s="67" t="s">
        <v>233</v>
      </c>
      <c r="F344" s="67" t="s">
        <v>12</v>
      </c>
      <c r="G344" s="67" t="s">
        <v>2568</v>
      </c>
      <c r="H344" s="67" t="s">
        <v>2569</v>
      </c>
      <c r="I344" s="67" t="s">
        <v>161</v>
      </c>
      <c r="J344" s="67" t="s">
        <v>649</v>
      </c>
      <c r="K344" s="67" t="s">
        <v>161</v>
      </c>
      <c r="L344" s="67" t="s">
        <v>2570</v>
      </c>
      <c r="M344" s="67" t="s">
        <v>2571</v>
      </c>
      <c r="N344" s="67" t="s">
        <v>2571</v>
      </c>
      <c r="O344" s="67" t="s">
        <v>165</v>
      </c>
      <c r="P344" s="67" t="s">
        <v>2572</v>
      </c>
    </row>
    <row r="345" s="43" customFormat="1" hidden="1" customHeight="1" spans="1:16">
      <c r="A345" s="67" t="s">
        <v>2573</v>
      </c>
      <c r="B345" s="67">
        <v>47.8</v>
      </c>
      <c r="C345" s="67">
        <v>4</v>
      </c>
      <c r="D345" s="67" t="s">
        <v>2574</v>
      </c>
      <c r="E345" s="67" t="s">
        <v>884</v>
      </c>
      <c r="F345" s="67" t="s">
        <v>12</v>
      </c>
      <c r="G345" s="67" t="s">
        <v>2575</v>
      </c>
      <c r="H345" s="67" t="s">
        <v>2576</v>
      </c>
      <c r="I345" s="67" t="s">
        <v>161</v>
      </c>
      <c r="J345" s="67" t="s">
        <v>649</v>
      </c>
      <c r="K345" s="67" t="s">
        <v>161</v>
      </c>
      <c r="L345" s="67" t="s">
        <v>2577</v>
      </c>
      <c r="M345" s="67" t="s">
        <v>2578</v>
      </c>
      <c r="N345" s="67" t="s">
        <v>2578</v>
      </c>
      <c r="O345" s="67" t="s">
        <v>165</v>
      </c>
      <c r="P345" s="67" t="s">
        <v>2579</v>
      </c>
    </row>
    <row r="346" s="43" customFormat="1" customHeight="1" spans="1:16">
      <c r="A346" s="67" t="s">
        <v>2580</v>
      </c>
      <c r="B346" s="67">
        <v>35.7</v>
      </c>
      <c r="C346" s="67">
        <v>4</v>
      </c>
      <c r="D346" s="67" t="s">
        <v>565</v>
      </c>
      <c r="E346" s="67" t="s">
        <v>2411</v>
      </c>
      <c r="F346" s="67" t="s">
        <v>12</v>
      </c>
      <c r="G346" s="67" t="s">
        <v>2581</v>
      </c>
      <c r="H346" s="67" t="s">
        <v>2582</v>
      </c>
      <c r="I346" s="67" t="s">
        <v>161</v>
      </c>
      <c r="J346" s="67" t="s">
        <v>161</v>
      </c>
      <c r="K346" s="67" t="s">
        <v>161</v>
      </c>
      <c r="L346" s="67" t="s">
        <v>2583</v>
      </c>
      <c r="M346" s="67" t="s">
        <v>2584</v>
      </c>
      <c r="N346" s="67" t="s">
        <v>2584</v>
      </c>
      <c r="O346" s="67" t="s">
        <v>165</v>
      </c>
      <c r="P346" s="67" t="s">
        <v>2585</v>
      </c>
    </row>
    <row r="347" s="43" customFormat="1" customHeight="1" spans="1:16">
      <c r="A347" s="67" t="s">
        <v>2586</v>
      </c>
      <c r="B347" s="67">
        <v>52.45</v>
      </c>
      <c r="C347" s="67">
        <v>7</v>
      </c>
      <c r="D347" s="67" t="s">
        <v>2587</v>
      </c>
      <c r="E347" s="67" t="s">
        <v>2588</v>
      </c>
      <c r="F347" s="67" t="s">
        <v>78</v>
      </c>
      <c r="G347" s="67" t="s">
        <v>2589</v>
      </c>
      <c r="H347" s="67" t="s">
        <v>2590</v>
      </c>
      <c r="I347" s="67" t="s">
        <v>161</v>
      </c>
      <c r="J347" s="67" t="s">
        <v>161</v>
      </c>
      <c r="K347" s="67" t="s">
        <v>161</v>
      </c>
      <c r="L347" s="67" t="s">
        <v>2591</v>
      </c>
      <c r="M347" s="67" t="s">
        <v>2592</v>
      </c>
      <c r="N347" s="67" t="s">
        <v>2592</v>
      </c>
      <c r="O347" s="67" t="s">
        <v>165</v>
      </c>
      <c r="P347" s="67" t="s">
        <v>2388</v>
      </c>
    </row>
    <row r="348" s="43" customFormat="1" hidden="1" customHeight="1" spans="1:16">
      <c r="A348" s="67" t="s">
        <v>2593</v>
      </c>
      <c r="B348" s="67">
        <v>26.89</v>
      </c>
      <c r="C348" s="67">
        <v>2</v>
      </c>
      <c r="D348" s="67" t="s">
        <v>2165</v>
      </c>
      <c r="E348" s="67" t="s">
        <v>233</v>
      </c>
      <c r="F348" s="67" t="s">
        <v>12</v>
      </c>
      <c r="G348" s="67" t="s">
        <v>2594</v>
      </c>
      <c r="H348" s="67" t="s">
        <v>2595</v>
      </c>
      <c r="I348" s="67" t="s">
        <v>161</v>
      </c>
      <c r="J348" s="67" t="s">
        <v>649</v>
      </c>
      <c r="K348" s="67" t="s">
        <v>161</v>
      </c>
      <c r="L348" s="67" t="s">
        <v>2596</v>
      </c>
      <c r="M348" s="67" t="s">
        <v>2597</v>
      </c>
      <c r="N348" s="67" t="s">
        <v>2597</v>
      </c>
      <c r="O348" s="67" t="s">
        <v>165</v>
      </c>
      <c r="P348" s="67" t="s">
        <v>2598</v>
      </c>
    </row>
    <row r="349" s="43" customFormat="1" hidden="1" customHeight="1" spans="1:16">
      <c r="A349" s="67" t="s">
        <v>2599</v>
      </c>
      <c r="B349" s="67">
        <v>47.8</v>
      </c>
      <c r="C349" s="67">
        <v>4</v>
      </c>
      <c r="D349" s="67" t="s">
        <v>2574</v>
      </c>
      <c r="E349" s="67" t="s">
        <v>884</v>
      </c>
      <c r="F349" s="67" t="s">
        <v>12</v>
      </c>
      <c r="G349" s="67" t="s">
        <v>2600</v>
      </c>
      <c r="H349" s="67" t="s">
        <v>2601</v>
      </c>
      <c r="I349" s="67" t="s">
        <v>161</v>
      </c>
      <c r="J349" s="67" t="s">
        <v>649</v>
      </c>
      <c r="K349" s="67" t="s">
        <v>161</v>
      </c>
      <c r="L349" s="67" t="s">
        <v>2602</v>
      </c>
      <c r="M349" s="67" t="s">
        <v>2603</v>
      </c>
      <c r="N349" s="67" t="s">
        <v>2603</v>
      </c>
      <c r="O349" s="67" t="s">
        <v>165</v>
      </c>
      <c r="P349" s="67" t="s">
        <v>2604</v>
      </c>
    </row>
    <row r="350" s="43" customFormat="1" hidden="1" customHeight="1" spans="1:16">
      <c r="A350" s="67" t="s">
        <v>2605</v>
      </c>
      <c r="B350" s="67">
        <v>35.75</v>
      </c>
      <c r="C350" s="67">
        <v>4</v>
      </c>
      <c r="D350" s="67" t="s">
        <v>2606</v>
      </c>
      <c r="E350" s="67" t="s">
        <v>2607</v>
      </c>
      <c r="F350" s="67" t="s">
        <v>12</v>
      </c>
      <c r="G350" s="67" t="s">
        <v>2608</v>
      </c>
      <c r="H350" s="67" t="s">
        <v>2609</v>
      </c>
      <c r="I350" s="67" t="s">
        <v>161</v>
      </c>
      <c r="J350" s="67" t="s">
        <v>649</v>
      </c>
      <c r="K350" s="67" t="s">
        <v>161</v>
      </c>
      <c r="L350" s="67" t="s">
        <v>2610</v>
      </c>
      <c r="M350" s="67" t="s">
        <v>2611</v>
      </c>
      <c r="N350" s="67" t="s">
        <v>2611</v>
      </c>
      <c r="O350" s="67" t="s">
        <v>165</v>
      </c>
      <c r="P350" s="67" t="s">
        <v>2612</v>
      </c>
    </row>
    <row r="351" s="43" customFormat="1" customHeight="1" spans="1:16">
      <c r="A351" s="67" t="s">
        <v>2613</v>
      </c>
      <c r="B351" s="67">
        <v>56.62</v>
      </c>
      <c r="C351" s="67">
        <v>7</v>
      </c>
      <c r="D351" s="67" t="s">
        <v>2614</v>
      </c>
      <c r="E351" s="67" t="s">
        <v>2615</v>
      </c>
      <c r="F351" s="67" t="s">
        <v>12</v>
      </c>
      <c r="G351" s="67" t="s">
        <v>2616</v>
      </c>
      <c r="H351" s="67" t="s">
        <v>2617</v>
      </c>
      <c r="I351" s="67" t="s">
        <v>161</v>
      </c>
      <c r="J351" s="67" t="s">
        <v>161</v>
      </c>
      <c r="K351" s="67" t="s">
        <v>161</v>
      </c>
      <c r="L351" s="67" t="s">
        <v>2618</v>
      </c>
      <c r="M351" s="67" t="s">
        <v>2619</v>
      </c>
      <c r="N351" s="67" t="s">
        <v>2619</v>
      </c>
      <c r="O351" s="67" t="s">
        <v>165</v>
      </c>
      <c r="P351" s="67" t="s">
        <v>2620</v>
      </c>
    </row>
    <row r="352" s="43" customFormat="1" customHeight="1" spans="1:16">
      <c r="A352" s="67" t="s">
        <v>2621</v>
      </c>
      <c r="B352" s="67">
        <v>38.91</v>
      </c>
      <c r="C352" s="67">
        <v>4</v>
      </c>
      <c r="D352" s="67" t="s">
        <v>2622</v>
      </c>
      <c r="E352" s="67" t="s">
        <v>2623</v>
      </c>
      <c r="F352" s="67" t="s">
        <v>98</v>
      </c>
      <c r="G352" s="67" t="s">
        <v>2624</v>
      </c>
      <c r="H352" s="67" t="s">
        <v>2625</v>
      </c>
      <c r="I352" s="67" t="s">
        <v>161</v>
      </c>
      <c r="J352" s="67" t="s">
        <v>161</v>
      </c>
      <c r="K352" s="67" t="s">
        <v>161</v>
      </c>
      <c r="L352" s="67" t="s">
        <v>2626</v>
      </c>
      <c r="M352" s="67" t="s">
        <v>2627</v>
      </c>
      <c r="N352" s="67" t="s">
        <v>2627</v>
      </c>
      <c r="O352" s="67" t="s">
        <v>165</v>
      </c>
      <c r="P352" s="67" t="s">
        <v>2628</v>
      </c>
    </row>
    <row r="353" s="43" customFormat="1" hidden="1" customHeight="1" spans="1:16">
      <c r="A353" s="67" t="s">
        <v>2629</v>
      </c>
      <c r="B353" s="67">
        <v>89.45</v>
      </c>
      <c r="C353" s="67">
        <v>8</v>
      </c>
      <c r="D353" s="67" t="s">
        <v>2630</v>
      </c>
      <c r="E353" s="67" t="s">
        <v>2631</v>
      </c>
      <c r="F353" s="67" t="s">
        <v>12</v>
      </c>
      <c r="G353" s="67" t="s">
        <v>2632</v>
      </c>
      <c r="H353" s="67" t="s">
        <v>2633</v>
      </c>
      <c r="I353" s="67" t="s">
        <v>161</v>
      </c>
      <c r="J353" s="67" t="s">
        <v>649</v>
      </c>
      <c r="K353" s="67" t="s">
        <v>161</v>
      </c>
      <c r="L353" s="67" t="s">
        <v>2634</v>
      </c>
      <c r="M353" s="67" t="s">
        <v>2635</v>
      </c>
      <c r="N353" s="67" t="s">
        <v>2635</v>
      </c>
      <c r="O353" s="67" t="s">
        <v>165</v>
      </c>
      <c r="P353" s="67" t="s">
        <v>2636</v>
      </c>
    </row>
    <row r="354" s="43" customFormat="1" customHeight="1" spans="1:16">
      <c r="A354" s="67" t="s">
        <v>2637</v>
      </c>
      <c r="B354" s="67">
        <v>106.45</v>
      </c>
      <c r="C354" s="67">
        <v>7</v>
      </c>
      <c r="D354" s="67" t="s">
        <v>2638</v>
      </c>
      <c r="E354" s="67" t="s">
        <v>2639</v>
      </c>
      <c r="F354" s="67" t="s">
        <v>12</v>
      </c>
      <c r="G354" s="67" t="s">
        <v>2640</v>
      </c>
      <c r="H354" s="67" t="s">
        <v>2641</v>
      </c>
      <c r="I354" s="67" t="s">
        <v>161</v>
      </c>
      <c r="J354" s="67" t="s">
        <v>161</v>
      </c>
      <c r="K354" s="67" t="s">
        <v>161</v>
      </c>
      <c r="L354" s="67" t="s">
        <v>2642</v>
      </c>
      <c r="M354" s="67" t="s">
        <v>2643</v>
      </c>
      <c r="N354" s="67" t="s">
        <v>2643</v>
      </c>
      <c r="O354" s="67" t="s">
        <v>165</v>
      </c>
      <c r="P354" s="67" t="s">
        <v>2644</v>
      </c>
    </row>
    <row r="355" s="43" customFormat="1" customHeight="1" spans="1:16">
      <c r="A355" s="67" t="s">
        <v>2645</v>
      </c>
      <c r="B355" s="67">
        <v>51.74</v>
      </c>
      <c r="C355" s="67">
        <v>4</v>
      </c>
      <c r="D355" s="67" t="s">
        <v>290</v>
      </c>
      <c r="E355" s="67" t="s">
        <v>2646</v>
      </c>
      <c r="F355" s="67" t="s">
        <v>98</v>
      </c>
      <c r="G355" s="67" t="s">
        <v>2647</v>
      </c>
      <c r="H355" s="67" t="s">
        <v>2648</v>
      </c>
      <c r="I355" s="67" t="s">
        <v>161</v>
      </c>
      <c r="J355" s="67" t="s">
        <v>161</v>
      </c>
      <c r="K355" s="67" t="s">
        <v>161</v>
      </c>
      <c r="L355" s="67" t="s">
        <v>2649</v>
      </c>
      <c r="M355" s="67" t="s">
        <v>2650</v>
      </c>
      <c r="N355" s="67" t="s">
        <v>2650</v>
      </c>
      <c r="O355" s="67" t="s">
        <v>165</v>
      </c>
      <c r="P355" s="67" t="s">
        <v>2628</v>
      </c>
    </row>
    <row r="356" s="43" customFormat="1" customHeight="1" spans="1:16">
      <c r="A356" s="67" t="s">
        <v>2651</v>
      </c>
      <c r="B356" s="67">
        <v>109</v>
      </c>
      <c r="C356" s="67">
        <v>7</v>
      </c>
      <c r="D356" s="67" t="s">
        <v>2652</v>
      </c>
      <c r="E356" s="67" t="s">
        <v>2653</v>
      </c>
      <c r="F356" s="67" t="s">
        <v>98</v>
      </c>
      <c r="G356" s="67" t="s">
        <v>2654</v>
      </c>
      <c r="H356" s="67" t="s">
        <v>2655</v>
      </c>
      <c r="I356" s="67" t="s">
        <v>161</v>
      </c>
      <c r="J356" s="67" t="s">
        <v>161</v>
      </c>
      <c r="K356" s="67" t="s">
        <v>161</v>
      </c>
      <c r="L356" s="67" t="s">
        <v>2656</v>
      </c>
      <c r="M356" s="67" t="s">
        <v>2657</v>
      </c>
      <c r="N356" s="67" t="s">
        <v>2657</v>
      </c>
      <c r="O356" s="67" t="s">
        <v>165</v>
      </c>
      <c r="P356" s="67" t="s">
        <v>2628</v>
      </c>
    </row>
    <row r="357" s="43" customFormat="1" hidden="1" customHeight="1" spans="1:16">
      <c r="A357" s="67" t="s">
        <v>2658</v>
      </c>
      <c r="B357" s="67">
        <v>68.7</v>
      </c>
      <c r="C357" s="67">
        <v>4</v>
      </c>
      <c r="D357" s="67" t="s">
        <v>2659</v>
      </c>
      <c r="E357" s="67" t="s">
        <v>2660</v>
      </c>
      <c r="F357" s="67" t="s">
        <v>12</v>
      </c>
      <c r="G357" s="67" t="s">
        <v>2661</v>
      </c>
      <c r="H357" s="67" t="s">
        <v>2662</v>
      </c>
      <c r="I357" s="67" t="s">
        <v>161</v>
      </c>
      <c r="J357" s="67" t="s">
        <v>649</v>
      </c>
      <c r="K357" s="67" t="s">
        <v>161</v>
      </c>
      <c r="L357" s="67" t="s">
        <v>2663</v>
      </c>
      <c r="M357" s="67" t="s">
        <v>2664</v>
      </c>
      <c r="N357" s="67" t="s">
        <v>2664</v>
      </c>
      <c r="O357" s="67" t="s">
        <v>165</v>
      </c>
      <c r="P357" s="67" t="s">
        <v>2665</v>
      </c>
    </row>
    <row r="358" s="43" customFormat="1" hidden="1" customHeight="1" spans="1:16">
      <c r="A358" s="67" t="s">
        <v>2666</v>
      </c>
      <c r="B358" s="67">
        <v>26.89</v>
      </c>
      <c r="C358" s="67">
        <v>2</v>
      </c>
      <c r="D358" s="67" t="s">
        <v>2667</v>
      </c>
      <c r="E358" s="67" t="s">
        <v>269</v>
      </c>
      <c r="F358" s="67" t="s">
        <v>12</v>
      </c>
      <c r="G358" s="67" t="s">
        <v>2668</v>
      </c>
      <c r="H358" s="67" t="s">
        <v>2669</v>
      </c>
      <c r="I358" s="67" t="s">
        <v>161</v>
      </c>
      <c r="J358" s="67" t="s">
        <v>649</v>
      </c>
      <c r="K358" s="67" t="s">
        <v>161</v>
      </c>
      <c r="L358" s="67" t="s">
        <v>2670</v>
      </c>
      <c r="M358" s="67" t="s">
        <v>2671</v>
      </c>
      <c r="N358" s="67" t="s">
        <v>2671</v>
      </c>
      <c r="O358" s="67" t="s">
        <v>165</v>
      </c>
      <c r="P358" s="67" t="s">
        <v>2672</v>
      </c>
    </row>
    <row r="359" s="43" customFormat="1" hidden="1" customHeight="1" spans="1:16">
      <c r="A359" s="67" t="s">
        <v>2673</v>
      </c>
      <c r="B359" s="67">
        <v>26.89</v>
      </c>
      <c r="C359" s="67">
        <v>2</v>
      </c>
      <c r="D359" s="67" t="s">
        <v>2674</v>
      </c>
      <c r="E359" s="67" t="s">
        <v>365</v>
      </c>
      <c r="F359" s="67" t="s">
        <v>12</v>
      </c>
      <c r="G359" s="67" t="s">
        <v>2675</v>
      </c>
      <c r="H359" s="67" t="s">
        <v>2676</v>
      </c>
      <c r="I359" s="67" t="s">
        <v>161</v>
      </c>
      <c r="J359" s="67" t="s">
        <v>649</v>
      </c>
      <c r="K359" s="67" t="s">
        <v>161</v>
      </c>
      <c r="L359" s="67" t="s">
        <v>2677</v>
      </c>
      <c r="M359" s="67" t="s">
        <v>2678</v>
      </c>
      <c r="N359" s="67" t="s">
        <v>2678</v>
      </c>
      <c r="O359" s="67" t="s">
        <v>165</v>
      </c>
      <c r="P359" s="67" t="s">
        <v>2679</v>
      </c>
    </row>
    <row r="360" s="43" customFormat="1" hidden="1" customHeight="1" spans="1:16">
      <c r="A360" s="67" t="s">
        <v>2680</v>
      </c>
      <c r="B360" s="67">
        <v>26.89</v>
      </c>
      <c r="C360" s="67">
        <v>2</v>
      </c>
      <c r="D360" s="67" t="s">
        <v>2681</v>
      </c>
      <c r="E360" s="67" t="s">
        <v>317</v>
      </c>
      <c r="F360" s="67" t="s">
        <v>12</v>
      </c>
      <c r="G360" s="67" t="s">
        <v>2682</v>
      </c>
      <c r="H360" s="67" t="s">
        <v>2683</v>
      </c>
      <c r="I360" s="67" t="s">
        <v>161</v>
      </c>
      <c r="J360" s="67" t="s">
        <v>649</v>
      </c>
      <c r="K360" s="67" t="s">
        <v>161</v>
      </c>
      <c r="L360" s="67" t="s">
        <v>2684</v>
      </c>
      <c r="M360" s="67" t="s">
        <v>2685</v>
      </c>
      <c r="N360" s="67" t="s">
        <v>2685</v>
      </c>
      <c r="O360" s="67" t="s">
        <v>165</v>
      </c>
      <c r="P360" s="67" t="s">
        <v>2686</v>
      </c>
    </row>
    <row r="361" s="43" customFormat="1" hidden="1" customHeight="1" spans="1:16">
      <c r="A361" s="67" t="s">
        <v>2687</v>
      </c>
      <c r="B361" s="67">
        <v>52.7</v>
      </c>
      <c r="C361" s="67">
        <v>5</v>
      </c>
      <c r="D361" s="67" t="s">
        <v>2688</v>
      </c>
      <c r="E361" s="67" t="s">
        <v>2689</v>
      </c>
      <c r="F361" s="67" t="s">
        <v>12</v>
      </c>
      <c r="G361" s="67" t="s">
        <v>2690</v>
      </c>
      <c r="H361" s="67" t="s">
        <v>2691</v>
      </c>
      <c r="I361" s="67" t="s">
        <v>161</v>
      </c>
      <c r="J361" s="67" t="s">
        <v>649</v>
      </c>
      <c r="K361" s="67" t="s">
        <v>161</v>
      </c>
      <c r="L361" s="67" t="s">
        <v>2692</v>
      </c>
      <c r="M361" s="67" t="s">
        <v>2693</v>
      </c>
      <c r="N361" s="67" t="s">
        <v>2693</v>
      </c>
      <c r="O361" s="67" t="s">
        <v>165</v>
      </c>
      <c r="P361" s="67" t="s">
        <v>2694</v>
      </c>
    </row>
    <row r="362" s="43" customFormat="1" hidden="1" customHeight="1" spans="1:16">
      <c r="A362" s="67" t="s">
        <v>2695</v>
      </c>
      <c r="B362" s="67">
        <v>26.89</v>
      </c>
      <c r="C362" s="67">
        <v>2</v>
      </c>
      <c r="D362" s="67" t="s">
        <v>2667</v>
      </c>
      <c r="E362" s="67" t="s">
        <v>269</v>
      </c>
      <c r="F362" s="67" t="s">
        <v>12</v>
      </c>
      <c r="G362" s="67" t="s">
        <v>2696</v>
      </c>
      <c r="H362" s="67" t="s">
        <v>2697</v>
      </c>
      <c r="I362" s="67" t="s">
        <v>161</v>
      </c>
      <c r="J362" s="67" t="s">
        <v>649</v>
      </c>
      <c r="K362" s="67" t="s">
        <v>161</v>
      </c>
      <c r="L362" s="67" t="s">
        <v>2698</v>
      </c>
      <c r="M362" s="67" t="s">
        <v>2699</v>
      </c>
      <c r="N362" s="67" t="s">
        <v>2699</v>
      </c>
      <c r="O362" s="67" t="s">
        <v>165</v>
      </c>
      <c r="P362" s="67" t="s">
        <v>2700</v>
      </c>
    </row>
    <row r="363" s="43" customFormat="1" customHeight="1" spans="1:16">
      <c r="A363" s="67" t="s">
        <v>2701</v>
      </c>
      <c r="B363" s="67">
        <v>30.8</v>
      </c>
      <c r="C363" s="67">
        <v>3</v>
      </c>
      <c r="D363" s="67" t="s">
        <v>246</v>
      </c>
      <c r="E363" s="67" t="s">
        <v>835</v>
      </c>
      <c r="F363" s="67" t="s">
        <v>90</v>
      </c>
      <c r="G363" s="67" t="s">
        <v>2702</v>
      </c>
      <c r="H363" s="67" t="s">
        <v>2703</v>
      </c>
      <c r="I363" s="67" t="s">
        <v>161</v>
      </c>
      <c r="J363" s="67" t="s">
        <v>161</v>
      </c>
      <c r="K363" s="67" t="s">
        <v>161</v>
      </c>
      <c r="L363" s="67" t="s">
        <v>2704</v>
      </c>
      <c r="M363" s="67" t="s">
        <v>2705</v>
      </c>
      <c r="N363" s="67" t="s">
        <v>2705</v>
      </c>
      <c r="O363" s="67" t="s">
        <v>165</v>
      </c>
      <c r="P363" s="67" t="s">
        <v>2706</v>
      </c>
    </row>
    <row r="364" s="43" customFormat="1" customHeight="1" spans="1:16">
      <c r="A364" s="67" t="s">
        <v>2707</v>
      </c>
      <c r="B364" s="67">
        <v>47.55</v>
      </c>
      <c r="C364" s="67">
        <v>6</v>
      </c>
      <c r="D364" s="67" t="s">
        <v>2708</v>
      </c>
      <c r="E364" s="67" t="s">
        <v>2709</v>
      </c>
      <c r="F364" s="67" t="s">
        <v>12</v>
      </c>
      <c r="G364" s="67" t="s">
        <v>2710</v>
      </c>
      <c r="H364" s="67" t="s">
        <v>2711</v>
      </c>
      <c r="I364" s="67" t="s">
        <v>161</v>
      </c>
      <c r="J364" s="67" t="s">
        <v>161</v>
      </c>
      <c r="K364" s="67" t="s">
        <v>161</v>
      </c>
      <c r="L364" s="67" t="s">
        <v>2712</v>
      </c>
      <c r="M364" s="67" t="s">
        <v>2713</v>
      </c>
      <c r="N364" s="67" t="s">
        <v>2713</v>
      </c>
      <c r="O364" s="67" t="s">
        <v>165</v>
      </c>
      <c r="P364" s="67" t="s">
        <v>2714</v>
      </c>
    </row>
    <row r="365" s="43" customFormat="1" customHeight="1" spans="1:16">
      <c r="A365" s="67" t="s">
        <v>2715</v>
      </c>
      <c r="B365" s="67">
        <v>13.09</v>
      </c>
      <c r="C365" s="67">
        <v>2</v>
      </c>
      <c r="D365" s="67" t="s">
        <v>1111</v>
      </c>
      <c r="E365" s="67" t="s">
        <v>1856</v>
      </c>
      <c r="F365" s="67" t="s">
        <v>90</v>
      </c>
      <c r="G365" s="67" t="s">
        <v>2716</v>
      </c>
      <c r="H365" s="67" t="s">
        <v>2717</v>
      </c>
      <c r="I365" s="67" t="s">
        <v>161</v>
      </c>
      <c r="J365" s="67" t="s">
        <v>161</v>
      </c>
      <c r="K365" s="67" t="s">
        <v>161</v>
      </c>
      <c r="L365" s="67" t="s">
        <v>2718</v>
      </c>
      <c r="M365" s="67" t="s">
        <v>2719</v>
      </c>
      <c r="N365" s="67" t="s">
        <v>2719</v>
      </c>
      <c r="O365" s="67" t="s">
        <v>165</v>
      </c>
      <c r="P365" s="67" t="s">
        <v>2720</v>
      </c>
    </row>
    <row r="366" s="43" customFormat="1" hidden="1" customHeight="1" spans="1:16">
      <c r="A366" s="67" t="s">
        <v>2721</v>
      </c>
      <c r="B366" s="67">
        <v>57.6</v>
      </c>
      <c r="C366" s="67">
        <v>6</v>
      </c>
      <c r="D366" s="67" t="s">
        <v>2722</v>
      </c>
      <c r="E366" s="67" t="s">
        <v>2723</v>
      </c>
      <c r="F366" s="67" t="s">
        <v>12</v>
      </c>
      <c r="G366" s="67" t="s">
        <v>2724</v>
      </c>
      <c r="H366" s="67" t="s">
        <v>2725</v>
      </c>
      <c r="I366" s="67" t="s">
        <v>161</v>
      </c>
      <c r="J366" s="67" t="s">
        <v>649</v>
      </c>
      <c r="K366" s="67" t="s">
        <v>161</v>
      </c>
      <c r="L366" s="67" t="s">
        <v>2726</v>
      </c>
      <c r="M366" s="67" t="s">
        <v>2727</v>
      </c>
      <c r="N366" s="67" t="s">
        <v>2727</v>
      </c>
      <c r="O366" s="67" t="s">
        <v>165</v>
      </c>
      <c r="P366" s="67" t="s">
        <v>2728</v>
      </c>
    </row>
    <row r="367" s="43" customFormat="1" hidden="1" customHeight="1" spans="1:16">
      <c r="A367" s="67" t="s">
        <v>2729</v>
      </c>
      <c r="B367" s="67">
        <v>84.35</v>
      </c>
      <c r="C367" s="67">
        <v>10</v>
      </c>
      <c r="D367" s="67" t="s">
        <v>2730</v>
      </c>
      <c r="E367" s="67" t="s">
        <v>2731</v>
      </c>
      <c r="F367" s="67" t="s">
        <v>12</v>
      </c>
      <c r="G367" s="67" t="s">
        <v>2732</v>
      </c>
      <c r="H367" s="67" t="s">
        <v>2733</v>
      </c>
      <c r="I367" s="67" t="s">
        <v>161</v>
      </c>
      <c r="J367" s="67" t="s">
        <v>649</v>
      </c>
      <c r="K367" s="67" t="s">
        <v>161</v>
      </c>
      <c r="L367" s="67" t="s">
        <v>2734</v>
      </c>
      <c r="M367" s="67" t="s">
        <v>2735</v>
      </c>
      <c r="N367" s="67" t="s">
        <v>2735</v>
      </c>
      <c r="O367" s="67" t="s">
        <v>165</v>
      </c>
      <c r="P367" s="67" t="s">
        <v>2736</v>
      </c>
    </row>
    <row r="368" s="43" customFormat="1" customHeight="1" spans="1:16">
      <c r="A368" s="67" t="s">
        <v>2737</v>
      </c>
      <c r="B368" s="67">
        <v>21.79</v>
      </c>
      <c r="C368" s="67">
        <v>3</v>
      </c>
      <c r="D368" s="67" t="s">
        <v>2738</v>
      </c>
      <c r="E368" s="67" t="s">
        <v>2739</v>
      </c>
      <c r="F368" s="67" t="s">
        <v>78</v>
      </c>
      <c r="G368" s="67" t="s">
        <v>2740</v>
      </c>
      <c r="H368" s="67" t="s">
        <v>2741</v>
      </c>
      <c r="I368" s="67" t="s">
        <v>161</v>
      </c>
      <c r="J368" s="67" t="s">
        <v>161</v>
      </c>
      <c r="K368" s="67" t="s">
        <v>161</v>
      </c>
      <c r="L368" s="67" t="s">
        <v>2742</v>
      </c>
      <c r="M368" s="67" t="s">
        <v>2743</v>
      </c>
      <c r="N368" s="67" t="s">
        <v>2743</v>
      </c>
      <c r="O368" s="67" t="s">
        <v>165</v>
      </c>
      <c r="P368" s="67" t="s">
        <v>2720</v>
      </c>
    </row>
    <row r="369" s="43" customFormat="1" customHeight="1" spans="1:16">
      <c r="A369" s="67" t="s">
        <v>2744</v>
      </c>
      <c r="B369" s="67">
        <v>35.7</v>
      </c>
      <c r="C369" s="67">
        <v>4</v>
      </c>
      <c r="D369" s="67" t="s">
        <v>1073</v>
      </c>
      <c r="E369" s="67" t="s">
        <v>2745</v>
      </c>
      <c r="F369" s="67" t="s">
        <v>78</v>
      </c>
      <c r="G369" s="67" t="s">
        <v>2746</v>
      </c>
      <c r="H369" s="67" t="s">
        <v>2747</v>
      </c>
      <c r="I369" s="67" t="s">
        <v>161</v>
      </c>
      <c r="J369" s="67" t="s">
        <v>161</v>
      </c>
      <c r="K369" s="67" t="s">
        <v>161</v>
      </c>
      <c r="L369" s="67" t="s">
        <v>2748</v>
      </c>
      <c r="M369" s="67" t="s">
        <v>2749</v>
      </c>
      <c r="N369" s="67" t="s">
        <v>2749</v>
      </c>
      <c r="O369" s="67" t="s">
        <v>165</v>
      </c>
      <c r="P369" s="67" t="s">
        <v>2388</v>
      </c>
    </row>
    <row r="370" s="43" customFormat="1" hidden="1" customHeight="1" spans="1:16">
      <c r="A370" s="67" t="s">
        <v>2750</v>
      </c>
      <c r="B370" s="67">
        <v>43.8</v>
      </c>
      <c r="C370" s="67">
        <v>3</v>
      </c>
      <c r="D370" s="67" t="s">
        <v>2751</v>
      </c>
      <c r="E370" s="67" t="s">
        <v>2752</v>
      </c>
      <c r="F370" s="67" t="s">
        <v>12</v>
      </c>
      <c r="G370" s="67" t="s">
        <v>2753</v>
      </c>
      <c r="H370" s="67" t="s">
        <v>2754</v>
      </c>
      <c r="I370" s="67" t="s">
        <v>161</v>
      </c>
      <c r="J370" s="67" t="s">
        <v>649</v>
      </c>
      <c r="K370" s="67" t="s">
        <v>161</v>
      </c>
      <c r="L370" s="67" t="s">
        <v>2755</v>
      </c>
      <c r="M370" s="67" t="s">
        <v>2756</v>
      </c>
      <c r="N370" s="67" t="s">
        <v>2756</v>
      </c>
      <c r="O370" s="67" t="s">
        <v>165</v>
      </c>
      <c r="P370" s="67" t="s">
        <v>2757</v>
      </c>
    </row>
    <row r="371" s="43" customFormat="1" customHeight="1" spans="1:16">
      <c r="A371" s="67" t="s">
        <v>2758</v>
      </c>
      <c r="B371" s="67">
        <v>70.4</v>
      </c>
      <c r="C371" s="67">
        <v>7</v>
      </c>
      <c r="D371" s="67" t="s">
        <v>2759</v>
      </c>
      <c r="E371" s="67" t="s">
        <v>2760</v>
      </c>
      <c r="F371" s="67" t="s">
        <v>78</v>
      </c>
      <c r="G371" s="67" t="s">
        <v>2761</v>
      </c>
      <c r="H371" s="67" t="s">
        <v>2762</v>
      </c>
      <c r="I371" s="67" t="s">
        <v>161</v>
      </c>
      <c r="J371" s="67" t="s">
        <v>161</v>
      </c>
      <c r="K371" s="67" t="s">
        <v>161</v>
      </c>
      <c r="L371" s="67" t="s">
        <v>2763</v>
      </c>
      <c r="M371" s="67" t="s">
        <v>2764</v>
      </c>
      <c r="N371" s="67" t="s">
        <v>2764</v>
      </c>
      <c r="O371" s="67" t="s">
        <v>165</v>
      </c>
      <c r="P371" s="67" t="s">
        <v>2765</v>
      </c>
    </row>
    <row r="372" s="43" customFormat="1" hidden="1" customHeight="1" spans="1:16">
      <c r="A372" s="67" t="s">
        <v>2766</v>
      </c>
      <c r="B372" s="67">
        <v>26.89</v>
      </c>
      <c r="C372" s="67">
        <v>2</v>
      </c>
      <c r="D372" s="67" t="s">
        <v>2143</v>
      </c>
      <c r="E372" s="67" t="s">
        <v>357</v>
      </c>
      <c r="F372" s="67" t="s">
        <v>12</v>
      </c>
      <c r="G372" s="67" t="s">
        <v>2767</v>
      </c>
      <c r="H372" s="67" t="s">
        <v>2768</v>
      </c>
      <c r="I372" s="67" t="s">
        <v>161</v>
      </c>
      <c r="J372" s="67" t="s">
        <v>649</v>
      </c>
      <c r="K372" s="67" t="s">
        <v>161</v>
      </c>
      <c r="L372" s="67" t="s">
        <v>2769</v>
      </c>
      <c r="M372" s="67" t="s">
        <v>2770</v>
      </c>
      <c r="N372" s="67" t="s">
        <v>2770</v>
      </c>
      <c r="O372" s="67" t="s">
        <v>165</v>
      </c>
      <c r="P372" s="67" t="s">
        <v>2771</v>
      </c>
    </row>
    <row r="373" s="43" customFormat="1" customHeight="1" spans="1:16">
      <c r="A373" s="67" t="s">
        <v>2772</v>
      </c>
      <c r="B373" s="67">
        <v>37.75</v>
      </c>
      <c r="C373" s="67">
        <v>4</v>
      </c>
      <c r="D373" s="67" t="s">
        <v>2773</v>
      </c>
      <c r="E373" s="67" t="s">
        <v>2774</v>
      </c>
      <c r="F373" s="67" t="s">
        <v>12</v>
      </c>
      <c r="G373" s="67" t="s">
        <v>2775</v>
      </c>
      <c r="H373" s="67" t="s">
        <v>2776</v>
      </c>
      <c r="I373" s="67" t="s">
        <v>161</v>
      </c>
      <c r="J373" s="67" t="s">
        <v>161</v>
      </c>
      <c r="K373" s="67" t="s">
        <v>161</v>
      </c>
      <c r="L373" s="67" t="s">
        <v>2777</v>
      </c>
      <c r="M373" s="67" t="s">
        <v>2778</v>
      </c>
      <c r="N373" s="67" t="s">
        <v>2778</v>
      </c>
      <c r="O373" s="67" t="s">
        <v>165</v>
      </c>
      <c r="P373" s="67" t="s">
        <v>2779</v>
      </c>
    </row>
    <row r="374" s="43" customFormat="1" customHeight="1" spans="1:16">
      <c r="A374" s="67" t="s">
        <v>2780</v>
      </c>
      <c r="B374" s="67">
        <v>45.51</v>
      </c>
      <c r="C374" s="67">
        <v>5</v>
      </c>
      <c r="D374" s="67" t="s">
        <v>2781</v>
      </c>
      <c r="E374" s="67" t="s">
        <v>2782</v>
      </c>
      <c r="F374" s="67" t="s">
        <v>90</v>
      </c>
      <c r="G374" s="67" t="s">
        <v>2783</v>
      </c>
      <c r="H374" s="67" t="s">
        <v>2784</v>
      </c>
      <c r="I374" s="67" t="s">
        <v>161</v>
      </c>
      <c r="J374" s="67" t="s">
        <v>161</v>
      </c>
      <c r="K374" s="67" t="s">
        <v>161</v>
      </c>
      <c r="L374" s="67" t="s">
        <v>2785</v>
      </c>
      <c r="M374" s="67" t="s">
        <v>2786</v>
      </c>
      <c r="N374" s="67" t="s">
        <v>2786</v>
      </c>
      <c r="O374" s="67" t="s">
        <v>165</v>
      </c>
      <c r="P374" s="67" t="s">
        <v>2765</v>
      </c>
    </row>
    <row r="375" s="43" customFormat="1" hidden="1" customHeight="1" spans="1:16">
      <c r="A375" s="67" t="s">
        <v>2787</v>
      </c>
      <c r="B375" s="67">
        <v>26.89</v>
      </c>
      <c r="C375" s="67">
        <v>2</v>
      </c>
      <c r="D375" s="67" t="s">
        <v>2788</v>
      </c>
      <c r="E375" s="67" t="s">
        <v>546</v>
      </c>
      <c r="F375" s="67" t="s">
        <v>12</v>
      </c>
      <c r="G375" s="67" t="s">
        <v>2789</v>
      </c>
      <c r="H375" s="67" t="s">
        <v>2790</v>
      </c>
      <c r="I375" s="67" t="s">
        <v>161</v>
      </c>
      <c r="J375" s="67" t="s">
        <v>649</v>
      </c>
      <c r="K375" s="67" t="s">
        <v>161</v>
      </c>
      <c r="L375" s="67" t="s">
        <v>2791</v>
      </c>
      <c r="M375" s="67" t="s">
        <v>2792</v>
      </c>
      <c r="N375" s="67" t="s">
        <v>2792</v>
      </c>
      <c r="O375" s="67" t="s">
        <v>165</v>
      </c>
      <c r="P375" s="67" t="s">
        <v>2793</v>
      </c>
    </row>
    <row r="376" s="43" customFormat="1" customHeight="1" spans="1:16">
      <c r="A376" s="67" t="s">
        <v>2794</v>
      </c>
      <c r="B376" s="67">
        <v>71.44</v>
      </c>
      <c r="C376" s="67">
        <v>4</v>
      </c>
      <c r="D376" s="67" t="s">
        <v>2795</v>
      </c>
      <c r="E376" s="67" t="s">
        <v>2796</v>
      </c>
      <c r="F376" s="67" t="s">
        <v>98</v>
      </c>
      <c r="G376" s="67" t="s">
        <v>2797</v>
      </c>
      <c r="H376" s="67" t="s">
        <v>2798</v>
      </c>
      <c r="I376" s="67" t="s">
        <v>161</v>
      </c>
      <c r="J376" s="67" t="s">
        <v>161</v>
      </c>
      <c r="K376" s="67" t="s">
        <v>161</v>
      </c>
      <c r="L376" s="67" t="s">
        <v>2799</v>
      </c>
      <c r="M376" s="67" t="s">
        <v>2800</v>
      </c>
      <c r="N376" s="67" t="s">
        <v>2800</v>
      </c>
      <c r="O376" s="67" t="s">
        <v>165</v>
      </c>
      <c r="P376" s="67" t="s">
        <v>2720</v>
      </c>
    </row>
    <row r="377" s="43" customFormat="1" customHeight="1" spans="1:16">
      <c r="A377" s="67" t="s">
        <v>2801</v>
      </c>
      <c r="B377" s="67">
        <v>40.6</v>
      </c>
      <c r="C377" s="67">
        <v>5</v>
      </c>
      <c r="D377" s="67" t="s">
        <v>2014</v>
      </c>
      <c r="E377" s="67" t="s">
        <v>2802</v>
      </c>
      <c r="F377" s="67" t="s">
        <v>12</v>
      </c>
      <c r="G377" s="67" t="s">
        <v>2803</v>
      </c>
      <c r="H377" s="67" t="s">
        <v>2804</v>
      </c>
      <c r="I377" s="67" t="s">
        <v>161</v>
      </c>
      <c r="J377" s="67" t="s">
        <v>161</v>
      </c>
      <c r="K377" s="67" t="s">
        <v>161</v>
      </c>
      <c r="L377" s="67" t="s">
        <v>2805</v>
      </c>
      <c r="M377" s="67" t="s">
        <v>2806</v>
      </c>
      <c r="N377" s="67" t="s">
        <v>2806</v>
      </c>
      <c r="O377" s="67" t="s">
        <v>165</v>
      </c>
      <c r="P377" s="67" t="s">
        <v>2807</v>
      </c>
    </row>
    <row r="378" s="43" customFormat="1" hidden="1" customHeight="1" spans="1:16">
      <c r="A378" s="67" t="s">
        <v>2808</v>
      </c>
      <c r="B378" s="67">
        <v>38.3</v>
      </c>
      <c r="C378" s="67">
        <v>3</v>
      </c>
      <c r="D378" s="67" t="s">
        <v>2030</v>
      </c>
      <c r="E378" s="67" t="s">
        <v>247</v>
      </c>
      <c r="F378" s="67" t="s">
        <v>12</v>
      </c>
      <c r="G378" s="67" t="s">
        <v>2809</v>
      </c>
      <c r="H378" s="67" t="s">
        <v>2810</v>
      </c>
      <c r="I378" s="67" t="s">
        <v>161</v>
      </c>
      <c r="J378" s="67" t="s">
        <v>649</v>
      </c>
      <c r="K378" s="67" t="s">
        <v>161</v>
      </c>
      <c r="L378" s="67" t="s">
        <v>2811</v>
      </c>
      <c r="M378" s="67" t="s">
        <v>2812</v>
      </c>
      <c r="N378" s="67" t="s">
        <v>2812</v>
      </c>
      <c r="O378" s="67" t="s">
        <v>165</v>
      </c>
      <c r="P378" s="67" t="s">
        <v>2813</v>
      </c>
    </row>
    <row r="379" s="43" customFormat="1" hidden="1" customHeight="1" spans="1:16">
      <c r="A379" s="67" t="s">
        <v>2814</v>
      </c>
      <c r="B379" s="67">
        <v>38.9</v>
      </c>
      <c r="C379" s="67">
        <v>2</v>
      </c>
      <c r="D379" s="67" t="s">
        <v>2815</v>
      </c>
      <c r="E379" s="67" t="s">
        <v>2816</v>
      </c>
      <c r="F379" s="67" t="s">
        <v>12</v>
      </c>
      <c r="G379" s="67" t="s">
        <v>1283</v>
      </c>
      <c r="H379" s="67" t="s">
        <v>2817</v>
      </c>
      <c r="I379" s="67" t="s">
        <v>161</v>
      </c>
      <c r="J379" s="67" t="s">
        <v>649</v>
      </c>
      <c r="K379" s="67" t="s">
        <v>161</v>
      </c>
      <c r="L379" s="67" t="s">
        <v>1285</v>
      </c>
      <c r="M379" s="67" t="s">
        <v>2818</v>
      </c>
      <c r="N379" s="67" t="s">
        <v>2818</v>
      </c>
      <c r="O379" s="67" t="s">
        <v>165</v>
      </c>
      <c r="P379" s="67" t="s">
        <v>2819</v>
      </c>
    </row>
    <row r="380" s="43" customFormat="1" hidden="1" customHeight="1" spans="1:16">
      <c r="A380" s="67" t="s">
        <v>2820</v>
      </c>
      <c r="B380" s="67">
        <v>26.89</v>
      </c>
      <c r="C380" s="67">
        <v>2</v>
      </c>
      <c r="D380" s="67" t="s">
        <v>2667</v>
      </c>
      <c r="E380" s="67" t="s">
        <v>269</v>
      </c>
      <c r="F380" s="67" t="s">
        <v>12</v>
      </c>
      <c r="G380" s="67" t="s">
        <v>2821</v>
      </c>
      <c r="H380" s="67" t="s">
        <v>2822</v>
      </c>
      <c r="I380" s="67" t="s">
        <v>161</v>
      </c>
      <c r="J380" s="67" t="s">
        <v>649</v>
      </c>
      <c r="K380" s="67" t="s">
        <v>161</v>
      </c>
      <c r="L380" s="67" t="s">
        <v>2823</v>
      </c>
      <c r="M380" s="67" t="s">
        <v>2824</v>
      </c>
      <c r="N380" s="67" t="s">
        <v>2824</v>
      </c>
      <c r="O380" s="67" t="s">
        <v>165</v>
      </c>
      <c r="P380" s="67" t="s">
        <v>2825</v>
      </c>
    </row>
    <row r="381" s="43" customFormat="1" hidden="1" customHeight="1" spans="1:16">
      <c r="A381" s="67" t="s">
        <v>2826</v>
      </c>
      <c r="B381" s="67">
        <v>26.89</v>
      </c>
      <c r="C381" s="67">
        <v>2</v>
      </c>
      <c r="D381" s="67" t="s">
        <v>2165</v>
      </c>
      <c r="E381" s="67" t="s">
        <v>233</v>
      </c>
      <c r="F381" s="67" t="s">
        <v>12</v>
      </c>
      <c r="G381" s="67" t="s">
        <v>2827</v>
      </c>
      <c r="H381" s="67" t="s">
        <v>2828</v>
      </c>
      <c r="I381" s="67" t="s">
        <v>161</v>
      </c>
      <c r="J381" s="67" t="s">
        <v>649</v>
      </c>
      <c r="K381" s="67" t="s">
        <v>161</v>
      </c>
      <c r="L381" s="67" t="s">
        <v>2829</v>
      </c>
      <c r="M381" s="67" t="s">
        <v>2830</v>
      </c>
      <c r="N381" s="67" t="s">
        <v>2830</v>
      </c>
      <c r="O381" s="67" t="s">
        <v>165</v>
      </c>
      <c r="P381" s="67" t="s">
        <v>2831</v>
      </c>
    </row>
    <row r="382" s="43" customFormat="1" hidden="1" customHeight="1" spans="1:16">
      <c r="A382" s="67" t="s">
        <v>2832</v>
      </c>
      <c r="B382" s="67">
        <v>40.65</v>
      </c>
      <c r="C382" s="67">
        <v>5</v>
      </c>
      <c r="D382" s="67" t="s">
        <v>2833</v>
      </c>
      <c r="E382" s="67" t="s">
        <v>2834</v>
      </c>
      <c r="F382" s="67" t="s">
        <v>12</v>
      </c>
      <c r="G382" s="67" t="s">
        <v>2835</v>
      </c>
      <c r="H382" s="67" t="s">
        <v>2836</v>
      </c>
      <c r="I382" s="67" t="s">
        <v>161</v>
      </c>
      <c r="J382" s="67" t="s">
        <v>649</v>
      </c>
      <c r="K382" s="67" t="s">
        <v>161</v>
      </c>
      <c r="L382" s="67" t="s">
        <v>2837</v>
      </c>
      <c r="M382" s="67" t="s">
        <v>2838</v>
      </c>
      <c r="N382" s="67" t="s">
        <v>2838</v>
      </c>
      <c r="O382" s="67" t="s">
        <v>165</v>
      </c>
      <c r="P382" s="67" t="s">
        <v>2839</v>
      </c>
    </row>
    <row r="383" s="43" customFormat="1" customHeight="1" spans="1:16">
      <c r="A383" s="67" t="s">
        <v>2840</v>
      </c>
      <c r="B383" s="67">
        <v>42.65</v>
      </c>
      <c r="C383" s="67">
        <v>5</v>
      </c>
      <c r="D383" s="67" t="s">
        <v>2841</v>
      </c>
      <c r="E383" s="67" t="s">
        <v>2842</v>
      </c>
      <c r="F383" s="67" t="s">
        <v>12</v>
      </c>
      <c r="G383" s="67" t="s">
        <v>2843</v>
      </c>
      <c r="H383" s="67" t="s">
        <v>2844</v>
      </c>
      <c r="I383" s="67" t="s">
        <v>161</v>
      </c>
      <c r="J383" s="67" t="s">
        <v>161</v>
      </c>
      <c r="K383" s="67" t="s">
        <v>161</v>
      </c>
      <c r="L383" s="67" t="s">
        <v>2845</v>
      </c>
      <c r="M383" s="67" t="s">
        <v>2846</v>
      </c>
      <c r="N383" s="67" t="s">
        <v>2846</v>
      </c>
      <c r="O383" s="67" t="s">
        <v>165</v>
      </c>
      <c r="P383" s="67" t="s">
        <v>2847</v>
      </c>
    </row>
    <row r="384" s="43" customFormat="1" customHeight="1" spans="1:16">
      <c r="A384" s="67" t="s">
        <v>2848</v>
      </c>
      <c r="B384" s="67">
        <v>31.28</v>
      </c>
      <c r="C384" s="67">
        <v>3</v>
      </c>
      <c r="D384" s="67" t="s">
        <v>972</v>
      </c>
      <c r="E384" s="67" t="s">
        <v>2355</v>
      </c>
      <c r="F384" s="67" t="s">
        <v>98</v>
      </c>
      <c r="G384" s="67" t="s">
        <v>2849</v>
      </c>
      <c r="H384" s="67" t="s">
        <v>2850</v>
      </c>
      <c r="I384" s="67" t="s">
        <v>161</v>
      </c>
      <c r="J384" s="67" t="s">
        <v>161</v>
      </c>
      <c r="K384" s="67" t="s">
        <v>161</v>
      </c>
      <c r="L384" s="67" t="s">
        <v>2851</v>
      </c>
      <c r="M384" s="67" t="s">
        <v>2852</v>
      </c>
      <c r="N384" s="67" t="s">
        <v>2852</v>
      </c>
      <c r="O384" s="67" t="s">
        <v>165</v>
      </c>
      <c r="P384" s="67" t="s">
        <v>1541</v>
      </c>
    </row>
    <row r="385" s="43" customFormat="1" hidden="1" customHeight="1" spans="1:16">
      <c r="A385" s="67" t="s">
        <v>2853</v>
      </c>
      <c r="B385" s="67">
        <v>47.8</v>
      </c>
      <c r="C385" s="67">
        <v>4</v>
      </c>
      <c r="D385" s="67" t="s">
        <v>2854</v>
      </c>
      <c r="E385" s="67" t="s">
        <v>2855</v>
      </c>
      <c r="F385" s="67" t="s">
        <v>12</v>
      </c>
      <c r="G385" s="67" t="s">
        <v>2856</v>
      </c>
      <c r="H385" s="67" t="s">
        <v>2857</v>
      </c>
      <c r="I385" s="67" t="s">
        <v>161</v>
      </c>
      <c r="J385" s="67" t="s">
        <v>649</v>
      </c>
      <c r="K385" s="67" t="s">
        <v>161</v>
      </c>
      <c r="L385" s="67" t="s">
        <v>2858</v>
      </c>
      <c r="M385" s="67" t="s">
        <v>2859</v>
      </c>
      <c r="N385" s="67" t="s">
        <v>2859</v>
      </c>
      <c r="O385" s="67" t="s">
        <v>165</v>
      </c>
      <c r="P385" s="67" t="s">
        <v>2860</v>
      </c>
    </row>
    <row r="386" s="43" customFormat="1" customHeight="1" spans="1:16">
      <c r="A386" s="67" t="s">
        <v>2861</v>
      </c>
      <c r="B386" s="67">
        <v>69.4</v>
      </c>
      <c r="C386" s="67">
        <v>8</v>
      </c>
      <c r="D386" s="67" t="s">
        <v>2862</v>
      </c>
      <c r="E386" s="67" t="s">
        <v>2863</v>
      </c>
      <c r="F386" s="67" t="s">
        <v>12</v>
      </c>
      <c r="G386" s="67" t="s">
        <v>2864</v>
      </c>
      <c r="H386" s="67" t="s">
        <v>2865</v>
      </c>
      <c r="I386" s="67" t="s">
        <v>161</v>
      </c>
      <c r="J386" s="67" t="s">
        <v>161</v>
      </c>
      <c r="K386" s="67" t="s">
        <v>2866</v>
      </c>
      <c r="L386" s="67" t="s">
        <v>2867</v>
      </c>
      <c r="M386" s="67" t="s">
        <v>2868</v>
      </c>
      <c r="N386" s="67" t="s">
        <v>2868</v>
      </c>
      <c r="O386" s="67" t="s">
        <v>165</v>
      </c>
      <c r="P386" s="67" t="s">
        <v>2869</v>
      </c>
    </row>
    <row r="387" s="43" customFormat="1" customHeight="1" spans="1:16">
      <c r="A387" s="67" t="s">
        <v>2870</v>
      </c>
      <c r="B387" s="67">
        <v>35.7</v>
      </c>
      <c r="C387" s="67">
        <v>4</v>
      </c>
      <c r="D387" s="67" t="s">
        <v>1073</v>
      </c>
      <c r="E387" s="67" t="s">
        <v>2251</v>
      </c>
      <c r="F387" s="67" t="s">
        <v>12</v>
      </c>
      <c r="G387" s="67" t="s">
        <v>2871</v>
      </c>
      <c r="H387" s="67" t="s">
        <v>2872</v>
      </c>
      <c r="I387" s="67" t="s">
        <v>161</v>
      </c>
      <c r="J387" s="67" t="s">
        <v>161</v>
      </c>
      <c r="K387" s="67" t="s">
        <v>161</v>
      </c>
      <c r="L387" s="67" t="s">
        <v>2873</v>
      </c>
      <c r="M387" s="67" t="s">
        <v>2874</v>
      </c>
      <c r="N387" s="67" t="s">
        <v>2874</v>
      </c>
      <c r="O387" s="67" t="s">
        <v>165</v>
      </c>
      <c r="P387" s="67" t="s">
        <v>2875</v>
      </c>
    </row>
    <row r="388" s="43" customFormat="1" hidden="1" customHeight="1" spans="1:16">
      <c r="A388" s="67" t="s">
        <v>2876</v>
      </c>
      <c r="B388" s="67">
        <v>26.89</v>
      </c>
      <c r="C388" s="67">
        <v>2</v>
      </c>
      <c r="D388" s="67" t="s">
        <v>2165</v>
      </c>
      <c r="E388" s="67" t="s">
        <v>233</v>
      </c>
      <c r="F388" s="67" t="s">
        <v>12</v>
      </c>
      <c r="G388" s="67" t="s">
        <v>2877</v>
      </c>
      <c r="H388" s="67" t="s">
        <v>2878</v>
      </c>
      <c r="I388" s="67" t="s">
        <v>161</v>
      </c>
      <c r="J388" s="67" t="s">
        <v>649</v>
      </c>
      <c r="K388" s="67" t="s">
        <v>161</v>
      </c>
      <c r="L388" s="67" t="s">
        <v>2879</v>
      </c>
      <c r="M388" s="67" t="s">
        <v>2880</v>
      </c>
      <c r="N388" s="67" t="s">
        <v>2880</v>
      </c>
      <c r="O388" s="67" t="s">
        <v>165</v>
      </c>
      <c r="P388" s="67" t="s">
        <v>2881</v>
      </c>
    </row>
    <row r="389" s="43" customFormat="1" hidden="1" customHeight="1" spans="1:16">
      <c r="A389" s="67" t="s">
        <v>2882</v>
      </c>
      <c r="B389" s="67">
        <v>26.89</v>
      </c>
      <c r="C389" s="67">
        <v>2</v>
      </c>
      <c r="D389" s="67" t="s">
        <v>2681</v>
      </c>
      <c r="E389" s="67" t="s">
        <v>317</v>
      </c>
      <c r="F389" s="67" t="s">
        <v>12</v>
      </c>
      <c r="G389" s="67" t="s">
        <v>2883</v>
      </c>
      <c r="H389" s="67" t="s">
        <v>2884</v>
      </c>
      <c r="I389" s="67" t="s">
        <v>161</v>
      </c>
      <c r="J389" s="67" t="s">
        <v>649</v>
      </c>
      <c r="K389" s="67" t="s">
        <v>161</v>
      </c>
      <c r="L389" s="67" t="s">
        <v>2885</v>
      </c>
      <c r="M389" s="67" t="s">
        <v>2886</v>
      </c>
      <c r="N389" s="67" t="s">
        <v>2886</v>
      </c>
      <c r="O389" s="67" t="s">
        <v>165</v>
      </c>
      <c r="P389" s="67" t="s">
        <v>2887</v>
      </c>
    </row>
    <row r="390" s="43" customFormat="1" customHeight="1" spans="1:16">
      <c r="A390" s="67" t="s">
        <v>2888</v>
      </c>
      <c r="B390" s="67">
        <v>30.85</v>
      </c>
      <c r="C390" s="67">
        <v>3</v>
      </c>
      <c r="D390" s="67" t="s">
        <v>246</v>
      </c>
      <c r="E390" s="67" t="s">
        <v>247</v>
      </c>
      <c r="F390" s="67" t="s">
        <v>78</v>
      </c>
      <c r="G390" s="67" t="s">
        <v>2889</v>
      </c>
      <c r="H390" s="67" t="s">
        <v>2890</v>
      </c>
      <c r="I390" s="67" t="s">
        <v>161</v>
      </c>
      <c r="J390" s="67" t="s">
        <v>161</v>
      </c>
      <c r="K390" s="67" t="s">
        <v>161</v>
      </c>
      <c r="L390" s="67" t="s">
        <v>2891</v>
      </c>
      <c r="M390" s="67" t="s">
        <v>2892</v>
      </c>
      <c r="N390" s="67" t="s">
        <v>2892</v>
      </c>
      <c r="O390" s="67" t="s">
        <v>165</v>
      </c>
      <c r="P390" s="67" t="s">
        <v>1541</v>
      </c>
    </row>
    <row r="391" s="43" customFormat="1" customHeight="1" spans="1:16">
      <c r="A391" s="67" t="s">
        <v>2893</v>
      </c>
      <c r="B391" s="67">
        <v>40.52</v>
      </c>
      <c r="C391" s="67">
        <v>5</v>
      </c>
      <c r="D391" s="67" t="s">
        <v>2781</v>
      </c>
      <c r="E391" s="67" t="s">
        <v>2894</v>
      </c>
      <c r="F391" s="67" t="s">
        <v>12</v>
      </c>
      <c r="G391" s="67" t="s">
        <v>2895</v>
      </c>
      <c r="H391" s="67" t="s">
        <v>2896</v>
      </c>
      <c r="I391" s="67" t="s">
        <v>161</v>
      </c>
      <c r="J391" s="67" t="s">
        <v>161</v>
      </c>
      <c r="K391" s="67" t="s">
        <v>161</v>
      </c>
      <c r="L391" s="67" t="s">
        <v>2897</v>
      </c>
      <c r="M391" s="67" t="s">
        <v>2898</v>
      </c>
      <c r="N391" s="67" t="s">
        <v>2898</v>
      </c>
      <c r="O391" s="67" t="s">
        <v>165</v>
      </c>
      <c r="P391" s="67" t="s">
        <v>2899</v>
      </c>
    </row>
    <row r="392" s="43" customFormat="1" customHeight="1" spans="1:16">
      <c r="A392" s="67" t="s">
        <v>2900</v>
      </c>
      <c r="B392" s="67">
        <v>28.06</v>
      </c>
      <c r="C392" s="67">
        <v>2</v>
      </c>
      <c r="D392" s="67" t="s">
        <v>232</v>
      </c>
      <c r="E392" s="67" t="s">
        <v>233</v>
      </c>
      <c r="F392" s="67" t="s">
        <v>90</v>
      </c>
      <c r="G392" s="67" t="s">
        <v>2901</v>
      </c>
      <c r="H392" s="67" t="s">
        <v>2902</v>
      </c>
      <c r="I392" s="67" t="s">
        <v>161</v>
      </c>
      <c r="J392" s="67" t="s">
        <v>161</v>
      </c>
      <c r="K392" s="67" t="s">
        <v>2903</v>
      </c>
      <c r="L392" s="67" t="s">
        <v>2904</v>
      </c>
      <c r="M392" s="67" t="s">
        <v>2905</v>
      </c>
      <c r="N392" s="67" t="s">
        <v>2905</v>
      </c>
      <c r="O392" s="67" t="s">
        <v>165</v>
      </c>
      <c r="P392" s="67" t="s">
        <v>1541</v>
      </c>
    </row>
    <row r="393" s="43" customFormat="1" customHeight="1" spans="1:16">
      <c r="A393" s="67" t="s">
        <v>2906</v>
      </c>
      <c r="B393" s="67">
        <v>53.6</v>
      </c>
      <c r="C393" s="67">
        <v>5</v>
      </c>
      <c r="D393" s="67" t="s">
        <v>2907</v>
      </c>
      <c r="E393" s="67" t="s">
        <v>2752</v>
      </c>
      <c r="F393" s="67" t="s">
        <v>78</v>
      </c>
      <c r="G393" s="67" t="s">
        <v>2908</v>
      </c>
      <c r="H393" s="67" t="s">
        <v>2909</v>
      </c>
      <c r="I393" s="67" t="s">
        <v>161</v>
      </c>
      <c r="J393" s="67" t="s">
        <v>161</v>
      </c>
      <c r="K393" s="67" t="s">
        <v>161</v>
      </c>
      <c r="L393" s="67" t="s">
        <v>2910</v>
      </c>
      <c r="M393" s="67" t="s">
        <v>2911</v>
      </c>
      <c r="N393" s="67" t="s">
        <v>2911</v>
      </c>
      <c r="O393" s="67" t="s">
        <v>165</v>
      </c>
      <c r="P393" s="67" t="s">
        <v>1541</v>
      </c>
    </row>
    <row r="394" s="43" customFormat="1" hidden="1" customHeight="1" spans="1:16">
      <c r="A394" s="67" t="s">
        <v>2912</v>
      </c>
      <c r="B394" s="67">
        <v>38.9</v>
      </c>
      <c r="C394" s="67">
        <v>1</v>
      </c>
      <c r="D394" s="67" t="s">
        <v>2913</v>
      </c>
      <c r="E394" s="67" t="s">
        <v>2914</v>
      </c>
      <c r="F394" s="67" t="s">
        <v>12</v>
      </c>
      <c r="G394" s="67" t="s">
        <v>2915</v>
      </c>
      <c r="H394" s="67" t="s">
        <v>2916</v>
      </c>
      <c r="I394" s="67" t="s">
        <v>161</v>
      </c>
      <c r="J394" s="67" t="s">
        <v>161</v>
      </c>
      <c r="K394" s="67" t="s">
        <v>161</v>
      </c>
      <c r="L394" s="67" t="s">
        <v>2917</v>
      </c>
      <c r="M394" s="67" t="s">
        <v>2918</v>
      </c>
      <c r="N394" s="67" t="s">
        <v>2918</v>
      </c>
      <c r="O394" s="67" t="s">
        <v>165</v>
      </c>
      <c r="P394" s="67" t="s">
        <v>2919</v>
      </c>
    </row>
    <row r="395" s="43" customFormat="1" hidden="1" customHeight="1" spans="1:16">
      <c r="A395" s="67" t="s">
        <v>2920</v>
      </c>
      <c r="B395" s="67">
        <v>30.85</v>
      </c>
      <c r="C395" s="67">
        <v>3</v>
      </c>
      <c r="D395" s="67" t="s">
        <v>2921</v>
      </c>
      <c r="E395" s="67" t="s">
        <v>2922</v>
      </c>
      <c r="F395" s="67" t="s">
        <v>12</v>
      </c>
      <c r="G395" s="67" t="s">
        <v>2923</v>
      </c>
      <c r="H395" s="67" t="s">
        <v>2924</v>
      </c>
      <c r="I395" s="67" t="s">
        <v>161</v>
      </c>
      <c r="J395" s="67" t="s">
        <v>161</v>
      </c>
      <c r="K395" s="67" t="s">
        <v>161</v>
      </c>
      <c r="L395" s="67" t="s">
        <v>2925</v>
      </c>
      <c r="M395" s="67" t="s">
        <v>2926</v>
      </c>
      <c r="N395" s="67" t="s">
        <v>2926</v>
      </c>
      <c r="O395" s="67" t="s">
        <v>165</v>
      </c>
      <c r="P395" s="67" t="s">
        <v>2927</v>
      </c>
    </row>
    <row r="396" s="43" customFormat="1" customHeight="1" spans="1:16">
      <c r="A396" s="67" t="s">
        <v>2928</v>
      </c>
      <c r="B396" s="67">
        <v>35.7</v>
      </c>
      <c r="C396" s="67">
        <v>4</v>
      </c>
      <c r="D396" s="67" t="s">
        <v>2929</v>
      </c>
      <c r="E396" s="67" t="s">
        <v>2930</v>
      </c>
      <c r="F396" s="67" t="s">
        <v>12</v>
      </c>
      <c r="G396" s="67" t="s">
        <v>2931</v>
      </c>
      <c r="H396" s="67" t="s">
        <v>2932</v>
      </c>
      <c r="I396" s="67" t="s">
        <v>161</v>
      </c>
      <c r="J396" s="67" t="s">
        <v>161</v>
      </c>
      <c r="K396" s="67" t="s">
        <v>161</v>
      </c>
      <c r="L396" s="67" t="s">
        <v>2933</v>
      </c>
      <c r="M396" s="67" t="s">
        <v>2934</v>
      </c>
      <c r="N396" s="67" t="s">
        <v>2934</v>
      </c>
      <c r="O396" s="67" t="s">
        <v>165</v>
      </c>
      <c r="P396" s="67" t="s">
        <v>2935</v>
      </c>
    </row>
    <row r="397" s="43" customFormat="1" hidden="1" customHeight="1" spans="1:16">
      <c r="A397" s="67" t="s">
        <v>2936</v>
      </c>
      <c r="B397" s="67">
        <v>47.8</v>
      </c>
      <c r="C397" s="67">
        <v>4</v>
      </c>
      <c r="D397" s="67" t="s">
        <v>2937</v>
      </c>
      <c r="E397" s="67" t="s">
        <v>2938</v>
      </c>
      <c r="F397" s="67" t="s">
        <v>12</v>
      </c>
      <c r="G397" s="67" t="s">
        <v>2939</v>
      </c>
      <c r="H397" s="67" t="s">
        <v>2940</v>
      </c>
      <c r="I397" s="67" t="s">
        <v>161</v>
      </c>
      <c r="J397" s="67" t="s">
        <v>161</v>
      </c>
      <c r="K397" s="67" t="s">
        <v>161</v>
      </c>
      <c r="L397" s="67" t="s">
        <v>2941</v>
      </c>
      <c r="M397" s="67" t="s">
        <v>2942</v>
      </c>
      <c r="N397" s="67" t="s">
        <v>2942</v>
      </c>
      <c r="O397" s="67" t="s">
        <v>165</v>
      </c>
      <c r="P397" s="67" t="s">
        <v>2943</v>
      </c>
    </row>
    <row r="398" s="43" customFormat="1" hidden="1" customHeight="1" spans="1:16">
      <c r="A398" s="67" t="s">
        <v>2944</v>
      </c>
      <c r="B398" s="67">
        <v>47.8</v>
      </c>
      <c r="C398" s="67">
        <v>4</v>
      </c>
      <c r="D398" s="67" t="s">
        <v>2945</v>
      </c>
      <c r="E398" s="67" t="s">
        <v>2946</v>
      </c>
      <c r="F398" s="67" t="s">
        <v>12</v>
      </c>
      <c r="G398" s="67" t="s">
        <v>2947</v>
      </c>
      <c r="H398" s="67" t="s">
        <v>2948</v>
      </c>
      <c r="I398" s="67" t="s">
        <v>161</v>
      </c>
      <c r="J398" s="67" t="s">
        <v>161</v>
      </c>
      <c r="K398" s="67" t="s">
        <v>161</v>
      </c>
      <c r="L398" s="67" t="s">
        <v>2949</v>
      </c>
      <c r="M398" s="67" t="s">
        <v>2950</v>
      </c>
      <c r="N398" s="67" t="s">
        <v>2950</v>
      </c>
      <c r="O398" s="67" t="s">
        <v>165</v>
      </c>
      <c r="P398" s="67" t="s">
        <v>2951</v>
      </c>
    </row>
    <row r="399" s="43" customFormat="1" customHeight="1" spans="1:16">
      <c r="A399" s="67" t="s">
        <v>2952</v>
      </c>
      <c r="B399" s="67">
        <v>30.8</v>
      </c>
      <c r="C399" s="67">
        <v>3</v>
      </c>
      <c r="D399" s="67" t="s">
        <v>173</v>
      </c>
      <c r="E399" s="67" t="s">
        <v>869</v>
      </c>
      <c r="F399" s="67" t="s">
        <v>12</v>
      </c>
      <c r="G399" s="67" t="s">
        <v>2953</v>
      </c>
      <c r="H399" s="67" t="s">
        <v>2954</v>
      </c>
      <c r="I399" s="67" t="s">
        <v>161</v>
      </c>
      <c r="J399" s="67" t="s">
        <v>161</v>
      </c>
      <c r="K399" s="67" t="s">
        <v>161</v>
      </c>
      <c r="L399" s="67" t="s">
        <v>2955</v>
      </c>
      <c r="M399" s="67" t="s">
        <v>2956</v>
      </c>
      <c r="N399" s="67" t="s">
        <v>2956</v>
      </c>
      <c r="O399" s="67" t="s">
        <v>165</v>
      </c>
      <c r="P399" s="67" t="s">
        <v>2957</v>
      </c>
    </row>
    <row r="400" s="43" customFormat="1" hidden="1" customHeight="1" spans="1:16">
      <c r="A400" s="67" t="s">
        <v>2958</v>
      </c>
      <c r="B400" s="67">
        <v>72.7</v>
      </c>
      <c r="C400" s="67">
        <v>5</v>
      </c>
      <c r="D400" s="67" t="s">
        <v>2959</v>
      </c>
      <c r="E400" s="67" t="s">
        <v>2960</v>
      </c>
      <c r="F400" s="67" t="s">
        <v>12</v>
      </c>
      <c r="G400" s="67" t="s">
        <v>2961</v>
      </c>
      <c r="H400" s="67" t="s">
        <v>2962</v>
      </c>
      <c r="I400" s="67" t="s">
        <v>161</v>
      </c>
      <c r="J400" s="67" t="s">
        <v>161</v>
      </c>
      <c r="K400" s="67" t="s">
        <v>161</v>
      </c>
      <c r="L400" s="67" t="s">
        <v>2963</v>
      </c>
      <c r="M400" s="67" t="s">
        <v>2964</v>
      </c>
      <c r="N400" s="67" t="s">
        <v>2964</v>
      </c>
      <c r="O400" s="67" t="s">
        <v>165</v>
      </c>
      <c r="P400" s="67" t="s">
        <v>2965</v>
      </c>
    </row>
    <row r="401" s="43" customFormat="1" hidden="1" customHeight="1" spans="1:16">
      <c r="A401" s="67" t="s">
        <v>2966</v>
      </c>
      <c r="B401" s="67">
        <v>31.79</v>
      </c>
      <c r="C401" s="67">
        <v>3</v>
      </c>
      <c r="D401" s="67" t="s">
        <v>2967</v>
      </c>
      <c r="E401" s="67" t="s">
        <v>2478</v>
      </c>
      <c r="F401" s="67" t="s">
        <v>12</v>
      </c>
      <c r="G401" s="67" t="s">
        <v>2968</v>
      </c>
      <c r="H401" s="67" t="s">
        <v>2969</v>
      </c>
      <c r="I401" s="67" t="s">
        <v>161</v>
      </c>
      <c r="J401" s="67" t="s">
        <v>161</v>
      </c>
      <c r="K401" s="67" t="s">
        <v>161</v>
      </c>
      <c r="L401" s="67" t="s">
        <v>2970</v>
      </c>
      <c r="M401" s="67" t="s">
        <v>2971</v>
      </c>
      <c r="N401" s="67" t="s">
        <v>2971</v>
      </c>
      <c r="O401" s="67" t="s">
        <v>165</v>
      </c>
      <c r="P401" s="67" t="s">
        <v>2972</v>
      </c>
    </row>
    <row r="402" s="43" customFormat="1" hidden="1" customHeight="1" spans="1:16">
      <c r="A402" s="67" t="s">
        <v>2973</v>
      </c>
      <c r="B402" s="67">
        <v>59.65</v>
      </c>
      <c r="C402" s="67">
        <v>6</v>
      </c>
      <c r="D402" s="67" t="s">
        <v>2974</v>
      </c>
      <c r="E402" s="67" t="s">
        <v>2975</v>
      </c>
      <c r="F402" s="67" t="s">
        <v>12</v>
      </c>
      <c r="G402" s="67" t="s">
        <v>2976</v>
      </c>
      <c r="H402" s="67" t="s">
        <v>2977</v>
      </c>
      <c r="I402" s="67" t="s">
        <v>161</v>
      </c>
      <c r="J402" s="67" t="s">
        <v>161</v>
      </c>
      <c r="K402" s="67" t="s">
        <v>161</v>
      </c>
      <c r="L402" s="67" t="s">
        <v>2978</v>
      </c>
      <c r="M402" s="67" t="s">
        <v>2979</v>
      </c>
      <c r="N402" s="67" t="s">
        <v>2979</v>
      </c>
      <c r="O402" s="67" t="s">
        <v>165</v>
      </c>
      <c r="P402" s="67" t="s">
        <v>2980</v>
      </c>
    </row>
    <row r="403" s="43" customFormat="1" customHeight="1" spans="1:16">
      <c r="A403" s="67" t="s">
        <v>2981</v>
      </c>
      <c r="B403" s="67">
        <v>62.33</v>
      </c>
      <c r="C403" s="67">
        <v>6</v>
      </c>
      <c r="D403" s="67" t="s">
        <v>2982</v>
      </c>
      <c r="E403" s="67" t="s">
        <v>2983</v>
      </c>
      <c r="F403" s="67" t="s">
        <v>98</v>
      </c>
      <c r="G403" s="67" t="s">
        <v>2984</v>
      </c>
      <c r="H403" s="67" t="s">
        <v>2985</v>
      </c>
      <c r="I403" s="67" t="s">
        <v>161</v>
      </c>
      <c r="J403" s="67" t="s">
        <v>161</v>
      </c>
      <c r="K403" s="67" t="s">
        <v>161</v>
      </c>
      <c r="L403" s="67" t="s">
        <v>2986</v>
      </c>
      <c r="M403" s="67" t="s">
        <v>2987</v>
      </c>
      <c r="N403" s="67" t="s">
        <v>2987</v>
      </c>
      <c r="O403" s="67" t="s">
        <v>165</v>
      </c>
      <c r="P403" s="67" t="s">
        <v>1541</v>
      </c>
    </row>
    <row r="404" s="43" customFormat="1" hidden="1" customHeight="1" spans="1:16">
      <c r="A404" s="67" t="s">
        <v>2988</v>
      </c>
      <c r="B404" s="67">
        <v>34.34</v>
      </c>
      <c r="C404" s="67">
        <v>2</v>
      </c>
      <c r="D404" s="67" t="s">
        <v>2681</v>
      </c>
      <c r="E404" s="67" t="s">
        <v>317</v>
      </c>
      <c r="F404" s="67" t="s">
        <v>12</v>
      </c>
      <c r="G404" s="67" t="s">
        <v>2989</v>
      </c>
      <c r="H404" s="67" t="s">
        <v>2990</v>
      </c>
      <c r="I404" s="67" t="s">
        <v>161</v>
      </c>
      <c r="J404" s="67" t="s">
        <v>161</v>
      </c>
      <c r="K404" s="67" t="s">
        <v>161</v>
      </c>
      <c r="L404" s="67" t="s">
        <v>2991</v>
      </c>
      <c r="M404" s="67" t="s">
        <v>2992</v>
      </c>
      <c r="N404" s="67" t="s">
        <v>2992</v>
      </c>
      <c r="O404" s="67" t="s">
        <v>165</v>
      </c>
      <c r="P404" s="67" t="s">
        <v>2993</v>
      </c>
    </row>
    <row r="405" s="43" customFormat="1" hidden="1" customHeight="1" spans="1:16">
      <c r="A405" s="67" t="s">
        <v>2994</v>
      </c>
      <c r="B405" s="67">
        <v>63.75</v>
      </c>
      <c r="C405" s="67">
        <v>7</v>
      </c>
      <c r="D405" s="67" t="s">
        <v>2995</v>
      </c>
      <c r="E405" s="67" t="s">
        <v>2996</v>
      </c>
      <c r="F405" s="67" t="s">
        <v>12</v>
      </c>
      <c r="G405" s="67" t="s">
        <v>2997</v>
      </c>
      <c r="H405" s="67" t="s">
        <v>2998</v>
      </c>
      <c r="I405" s="67" t="s">
        <v>161</v>
      </c>
      <c r="J405" s="67" t="s">
        <v>161</v>
      </c>
      <c r="K405" s="67" t="s">
        <v>161</v>
      </c>
      <c r="L405" s="67" t="s">
        <v>2999</v>
      </c>
      <c r="M405" s="67" t="s">
        <v>3000</v>
      </c>
      <c r="N405" s="67" t="s">
        <v>3000</v>
      </c>
      <c r="O405" s="67" t="s">
        <v>165</v>
      </c>
      <c r="P405" s="67" t="s">
        <v>3001</v>
      </c>
    </row>
    <row r="406" s="43" customFormat="1" hidden="1" customHeight="1" spans="1:16">
      <c r="A406" s="67" t="s">
        <v>3002</v>
      </c>
      <c r="B406" s="67">
        <v>43.02</v>
      </c>
      <c r="C406" s="67">
        <v>4</v>
      </c>
      <c r="D406" s="67" t="s">
        <v>3003</v>
      </c>
      <c r="E406" s="67" t="s">
        <v>3004</v>
      </c>
      <c r="F406" s="67" t="s">
        <v>12</v>
      </c>
      <c r="G406" s="67" t="s">
        <v>3005</v>
      </c>
      <c r="H406" s="67" t="s">
        <v>3006</v>
      </c>
      <c r="I406" s="67" t="s">
        <v>161</v>
      </c>
      <c r="J406" s="67" t="s">
        <v>161</v>
      </c>
      <c r="K406" s="67" t="s">
        <v>161</v>
      </c>
      <c r="L406" s="67" t="s">
        <v>3007</v>
      </c>
      <c r="M406" s="67" t="s">
        <v>3008</v>
      </c>
      <c r="N406" s="67" t="s">
        <v>3008</v>
      </c>
      <c r="O406" s="67" t="s">
        <v>165</v>
      </c>
      <c r="P406" s="67" t="s">
        <v>3009</v>
      </c>
    </row>
    <row r="407" s="43" customFormat="1" customHeight="1" spans="1:16">
      <c r="A407" s="67" t="s">
        <v>3010</v>
      </c>
      <c r="B407" s="67">
        <v>91.45</v>
      </c>
      <c r="C407" s="67">
        <v>8</v>
      </c>
      <c r="D407" s="67" t="s">
        <v>3011</v>
      </c>
      <c r="E407" s="67" t="s">
        <v>3012</v>
      </c>
      <c r="F407" s="67" t="s">
        <v>12</v>
      </c>
      <c r="G407" s="67" t="s">
        <v>3013</v>
      </c>
      <c r="H407" s="67" t="s">
        <v>3014</v>
      </c>
      <c r="I407" s="67" t="s">
        <v>161</v>
      </c>
      <c r="J407" s="67" t="s">
        <v>161</v>
      </c>
      <c r="K407" s="67" t="s">
        <v>161</v>
      </c>
      <c r="L407" s="67" t="s">
        <v>3015</v>
      </c>
      <c r="M407" s="67" t="s">
        <v>3016</v>
      </c>
      <c r="N407" s="67" t="s">
        <v>3016</v>
      </c>
      <c r="O407" s="67" t="s">
        <v>165</v>
      </c>
      <c r="P407" s="67" t="s">
        <v>3017</v>
      </c>
    </row>
    <row r="408" s="43" customFormat="1" hidden="1" customHeight="1" spans="1:16">
      <c r="A408" s="67" t="s">
        <v>3018</v>
      </c>
      <c r="B408" s="67">
        <v>31.79</v>
      </c>
      <c r="C408" s="67">
        <v>3</v>
      </c>
      <c r="D408" s="67" t="s">
        <v>2178</v>
      </c>
      <c r="E408" s="67" t="s">
        <v>2122</v>
      </c>
      <c r="F408" s="67" t="s">
        <v>12</v>
      </c>
      <c r="G408" s="67" t="s">
        <v>3019</v>
      </c>
      <c r="H408" s="67" t="s">
        <v>3020</v>
      </c>
      <c r="I408" s="67" t="s">
        <v>161</v>
      </c>
      <c r="J408" s="67" t="s">
        <v>161</v>
      </c>
      <c r="K408" s="67" t="s">
        <v>161</v>
      </c>
      <c r="L408" s="67" t="s">
        <v>3021</v>
      </c>
      <c r="M408" s="67" t="s">
        <v>3022</v>
      </c>
      <c r="N408" s="67" t="s">
        <v>3022</v>
      </c>
      <c r="O408" s="67" t="s">
        <v>165</v>
      </c>
      <c r="P408" s="67" t="s">
        <v>3023</v>
      </c>
    </row>
    <row r="409" s="43" customFormat="1" hidden="1" customHeight="1" spans="1:16">
      <c r="A409" s="67" t="s">
        <v>3024</v>
      </c>
      <c r="B409" s="67">
        <v>26.89</v>
      </c>
      <c r="C409" s="67">
        <v>2</v>
      </c>
      <c r="D409" s="67" t="s">
        <v>2667</v>
      </c>
      <c r="E409" s="67" t="s">
        <v>269</v>
      </c>
      <c r="F409" s="67" t="s">
        <v>12</v>
      </c>
      <c r="G409" s="67" t="s">
        <v>3025</v>
      </c>
      <c r="H409" s="67" t="s">
        <v>3026</v>
      </c>
      <c r="I409" s="67" t="s">
        <v>161</v>
      </c>
      <c r="J409" s="67" t="s">
        <v>161</v>
      </c>
      <c r="K409" s="67" t="s">
        <v>161</v>
      </c>
      <c r="L409" s="67" t="s">
        <v>3027</v>
      </c>
      <c r="M409" s="67" t="s">
        <v>3028</v>
      </c>
      <c r="N409" s="67" t="s">
        <v>3028</v>
      </c>
      <c r="O409" s="67" t="s">
        <v>165</v>
      </c>
      <c r="P409" s="67" t="s">
        <v>3029</v>
      </c>
    </row>
    <row r="410" s="43" customFormat="1" customHeight="1" spans="1:16">
      <c r="A410" s="67" t="s">
        <v>3030</v>
      </c>
      <c r="B410" s="67">
        <v>50.6</v>
      </c>
      <c r="C410" s="67">
        <v>5</v>
      </c>
      <c r="D410" s="67" t="s">
        <v>3031</v>
      </c>
      <c r="E410" s="67" t="s">
        <v>3032</v>
      </c>
      <c r="F410" s="67" t="s">
        <v>12</v>
      </c>
      <c r="G410" s="67" t="s">
        <v>3033</v>
      </c>
      <c r="H410" s="67" t="s">
        <v>3034</v>
      </c>
      <c r="I410" s="67" t="s">
        <v>161</v>
      </c>
      <c r="J410" s="67" t="s">
        <v>161</v>
      </c>
      <c r="K410" s="67" t="s">
        <v>161</v>
      </c>
      <c r="L410" s="67" t="s">
        <v>3035</v>
      </c>
      <c r="M410" s="67" t="s">
        <v>3036</v>
      </c>
      <c r="N410" s="67" t="s">
        <v>3036</v>
      </c>
      <c r="O410" s="67" t="s">
        <v>165</v>
      </c>
      <c r="P410" s="67" t="s">
        <v>3037</v>
      </c>
    </row>
    <row r="411" s="43" customFormat="1" customHeight="1" spans="1:16">
      <c r="A411" s="67" t="s">
        <v>3038</v>
      </c>
      <c r="B411" s="67">
        <v>61.6</v>
      </c>
      <c r="C411" s="67">
        <v>6</v>
      </c>
      <c r="D411" s="67" t="s">
        <v>3039</v>
      </c>
      <c r="E411" s="67" t="s">
        <v>3040</v>
      </c>
      <c r="F411" s="67" t="s">
        <v>78</v>
      </c>
      <c r="G411" s="67" t="s">
        <v>3041</v>
      </c>
      <c r="H411" s="67" t="s">
        <v>3042</v>
      </c>
      <c r="I411" s="67" t="s">
        <v>161</v>
      </c>
      <c r="J411" s="67" t="s">
        <v>161</v>
      </c>
      <c r="K411" s="67" t="s">
        <v>161</v>
      </c>
      <c r="L411" s="67" t="s">
        <v>3043</v>
      </c>
      <c r="M411" s="67" t="s">
        <v>3044</v>
      </c>
      <c r="N411" s="67" t="s">
        <v>3044</v>
      </c>
      <c r="O411" s="67" t="s">
        <v>165</v>
      </c>
      <c r="P411" s="67" t="s">
        <v>3045</v>
      </c>
    </row>
    <row r="412" s="43" customFormat="1" customHeight="1" spans="1:16">
      <c r="A412" s="67" t="s">
        <v>3046</v>
      </c>
      <c r="B412" s="67">
        <v>30.8</v>
      </c>
      <c r="C412" s="67">
        <v>3</v>
      </c>
      <c r="D412" s="67" t="s">
        <v>1830</v>
      </c>
      <c r="E412" s="67" t="s">
        <v>1831</v>
      </c>
      <c r="F412" s="67" t="s">
        <v>12</v>
      </c>
      <c r="G412" s="67" t="s">
        <v>3047</v>
      </c>
      <c r="H412" s="67" t="s">
        <v>3048</v>
      </c>
      <c r="I412" s="67" t="s">
        <v>161</v>
      </c>
      <c r="J412" s="67" t="s">
        <v>161</v>
      </c>
      <c r="K412" s="67" t="s">
        <v>161</v>
      </c>
      <c r="L412" s="67" t="s">
        <v>3049</v>
      </c>
      <c r="M412" s="67" t="s">
        <v>3050</v>
      </c>
      <c r="N412" s="67" t="s">
        <v>3050</v>
      </c>
      <c r="O412" s="67" t="s">
        <v>165</v>
      </c>
      <c r="P412" s="67" t="s">
        <v>3051</v>
      </c>
    </row>
    <row r="413" s="43" customFormat="1" hidden="1" customHeight="1" spans="1:16">
      <c r="A413" s="67" t="s">
        <v>3052</v>
      </c>
      <c r="B413" s="67">
        <v>47.8</v>
      </c>
      <c r="C413" s="67">
        <v>3</v>
      </c>
      <c r="D413" s="67" t="s">
        <v>3053</v>
      </c>
      <c r="E413" s="67" t="s">
        <v>317</v>
      </c>
      <c r="F413" s="67" t="s">
        <v>12</v>
      </c>
      <c r="G413" s="67" t="s">
        <v>3054</v>
      </c>
      <c r="H413" s="67" t="s">
        <v>3055</v>
      </c>
      <c r="I413" s="67" t="s">
        <v>161</v>
      </c>
      <c r="J413" s="67" t="s">
        <v>161</v>
      </c>
      <c r="K413" s="67" t="s">
        <v>161</v>
      </c>
      <c r="L413" s="67" t="s">
        <v>3056</v>
      </c>
      <c r="M413" s="67" t="s">
        <v>3057</v>
      </c>
      <c r="N413" s="67" t="s">
        <v>3057</v>
      </c>
      <c r="O413" s="67" t="s">
        <v>165</v>
      </c>
      <c r="P413" s="67" t="s">
        <v>3058</v>
      </c>
    </row>
    <row r="414" s="43" customFormat="1" hidden="1" customHeight="1" spans="1:16">
      <c r="A414" s="67" t="s">
        <v>3059</v>
      </c>
      <c r="B414" s="67">
        <v>26.89</v>
      </c>
      <c r="C414" s="67">
        <v>2</v>
      </c>
      <c r="D414" s="67" t="s">
        <v>2545</v>
      </c>
      <c r="E414" s="67" t="s">
        <v>2546</v>
      </c>
      <c r="F414" s="67" t="s">
        <v>12</v>
      </c>
      <c r="G414" s="67" t="s">
        <v>3060</v>
      </c>
      <c r="H414" s="67" t="s">
        <v>3061</v>
      </c>
      <c r="I414" s="67" t="s">
        <v>161</v>
      </c>
      <c r="J414" s="67" t="s">
        <v>161</v>
      </c>
      <c r="K414" s="67" t="s">
        <v>161</v>
      </c>
      <c r="L414" s="67" t="s">
        <v>3062</v>
      </c>
      <c r="M414" s="67" t="s">
        <v>3063</v>
      </c>
      <c r="N414" s="67" t="s">
        <v>3063</v>
      </c>
      <c r="O414" s="67" t="s">
        <v>165</v>
      </c>
      <c r="P414" s="67" t="s">
        <v>3064</v>
      </c>
    </row>
    <row r="415" s="43" customFormat="1" customHeight="1" spans="1:16">
      <c r="A415" s="67" t="s">
        <v>3065</v>
      </c>
      <c r="B415" s="67">
        <v>38.56</v>
      </c>
      <c r="C415" s="67">
        <v>4</v>
      </c>
      <c r="D415" s="67" t="s">
        <v>565</v>
      </c>
      <c r="E415" s="67" t="s">
        <v>566</v>
      </c>
      <c r="F415" s="67" t="s">
        <v>98</v>
      </c>
      <c r="G415" s="67" t="s">
        <v>3066</v>
      </c>
      <c r="H415" s="67" t="s">
        <v>3067</v>
      </c>
      <c r="I415" s="67" t="s">
        <v>161</v>
      </c>
      <c r="J415" s="67" t="s">
        <v>161</v>
      </c>
      <c r="K415" s="67" t="s">
        <v>161</v>
      </c>
      <c r="L415" s="67" t="s">
        <v>3068</v>
      </c>
      <c r="M415" s="67" t="s">
        <v>3069</v>
      </c>
      <c r="N415" s="67" t="s">
        <v>3069</v>
      </c>
      <c r="O415" s="67" t="s">
        <v>165</v>
      </c>
      <c r="P415" s="67" t="s">
        <v>3045</v>
      </c>
    </row>
    <row r="416" s="43" customFormat="1" customHeight="1" spans="1:16">
      <c r="A416" s="67" t="s">
        <v>3070</v>
      </c>
      <c r="B416" s="67">
        <v>50.77</v>
      </c>
      <c r="C416" s="67">
        <v>4</v>
      </c>
      <c r="D416" s="67" t="s">
        <v>3071</v>
      </c>
      <c r="E416" s="67" t="s">
        <v>3072</v>
      </c>
      <c r="F416" s="67" t="s">
        <v>98</v>
      </c>
      <c r="G416" s="67" t="s">
        <v>3073</v>
      </c>
      <c r="H416" s="67" t="s">
        <v>3074</v>
      </c>
      <c r="I416" s="67" t="s">
        <v>161</v>
      </c>
      <c r="J416" s="67" t="s">
        <v>161</v>
      </c>
      <c r="K416" s="67" t="s">
        <v>161</v>
      </c>
      <c r="L416" s="67" t="s">
        <v>3075</v>
      </c>
      <c r="M416" s="67" t="s">
        <v>3076</v>
      </c>
      <c r="N416" s="67" t="s">
        <v>3076</v>
      </c>
      <c r="O416" s="67" t="s">
        <v>165</v>
      </c>
      <c r="P416" s="67" t="s">
        <v>1541</v>
      </c>
    </row>
    <row r="417" s="43" customFormat="1" customHeight="1" spans="1:16">
      <c r="A417" s="67" t="s">
        <v>3077</v>
      </c>
      <c r="B417" s="67">
        <v>52.7</v>
      </c>
      <c r="C417" s="67">
        <v>5</v>
      </c>
      <c r="D417" s="67" t="s">
        <v>3078</v>
      </c>
      <c r="E417" s="67" t="s">
        <v>3079</v>
      </c>
      <c r="F417" s="67" t="s">
        <v>78</v>
      </c>
      <c r="G417" s="67" t="s">
        <v>3080</v>
      </c>
      <c r="H417" s="67" t="s">
        <v>3081</v>
      </c>
      <c r="I417" s="67" t="s">
        <v>161</v>
      </c>
      <c r="J417" s="67" t="s">
        <v>161</v>
      </c>
      <c r="K417" s="67" t="s">
        <v>161</v>
      </c>
      <c r="L417" s="67" t="s">
        <v>3082</v>
      </c>
      <c r="M417" s="67" t="s">
        <v>3083</v>
      </c>
      <c r="N417" s="67" t="s">
        <v>3083</v>
      </c>
      <c r="O417" s="67" t="s">
        <v>165</v>
      </c>
      <c r="P417" s="67" t="s">
        <v>3084</v>
      </c>
    </row>
    <row r="418" s="43" customFormat="1" customHeight="1" spans="1:16">
      <c r="A418" s="67" t="s">
        <v>3085</v>
      </c>
      <c r="B418" s="67">
        <v>30.8</v>
      </c>
      <c r="C418" s="67">
        <v>3</v>
      </c>
      <c r="D418" s="67" t="s">
        <v>173</v>
      </c>
      <c r="E418" s="67" t="s">
        <v>324</v>
      </c>
      <c r="F418" s="67" t="s">
        <v>12</v>
      </c>
      <c r="G418" s="67" t="s">
        <v>3086</v>
      </c>
      <c r="H418" s="67" t="s">
        <v>3087</v>
      </c>
      <c r="I418" s="67" t="s">
        <v>161</v>
      </c>
      <c r="J418" s="67" t="s">
        <v>161</v>
      </c>
      <c r="K418" s="67" t="s">
        <v>3088</v>
      </c>
      <c r="L418" s="67" t="s">
        <v>3089</v>
      </c>
      <c r="M418" s="67" t="s">
        <v>3090</v>
      </c>
      <c r="N418" s="67" t="s">
        <v>3090</v>
      </c>
      <c r="O418" s="67" t="s">
        <v>165</v>
      </c>
      <c r="P418" s="67" t="s">
        <v>3091</v>
      </c>
    </row>
    <row r="419" s="43" customFormat="1" customHeight="1" spans="1:16">
      <c r="A419" s="67" t="s">
        <v>3092</v>
      </c>
      <c r="B419" s="67">
        <v>30.8</v>
      </c>
      <c r="C419" s="67">
        <v>3</v>
      </c>
      <c r="D419" s="67" t="s">
        <v>763</v>
      </c>
      <c r="E419" s="67" t="s">
        <v>764</v>
      </c>
      <c r="F419" s="67" t="s">
        <v>12</v>
      </c>
      <c r="G419" s="67" t="s">
        <v>3093</v>
      </c>
      <c r="H419" s="67" t="s">
        <v>3094</v>
      </c>
      <c r="I419" s="67" t="s">
        <v>161</v>
      </c>
      <c r="J419" s="67" t="s">
        <v>161</v>
      </c>
      <c r="K419" s="67" t="s">
        <v>161</v>
      </c>
      <c r="L419" s="67" t="s">
        <v>3095</v>
      </c>
      <c r="M419" s="67" t="s">
        <v>3096</v>
      </c>
      <c r="N419" s="67" t="s">
        <v>3096</v>
      </c>
      <c r="O419" s="67" t="s">
        <v>165</v>
      </c>
      <c r="P419" s="67" t="s">
        <v>3097</v>
      </c>
    </row>
    <row r="420" s="43" customFormat="1" customHeight="1" spans="1:16">
      <c r="A420" s="67" t="s">
        <v>3098</v>
      </c>
      <c r="B420" s="67">
        <v>37.75</v>
      </c>
      <c r="C420" s="67">
        <v>4</v>
      </c>
      <c r="D420" s="67" t="s">
        <v>731</v>
      </c>
      <c r="E420" s="67" t="s">
        <v>934</v>
      </c>
      <c r="F420" s="67" t="s">
        <v>12</v>
      </c>
      <c r="G420" s="67" t="s">
        <v>3099</v>
      </c>
      <c r="H420" s="67" t="s">
        <v>3100</v>
      </c>
      <c r="I420" s="67" t="s">
        <v>161</v>
      </c>
      <c r="J420" s="67" t="s">
        <v>161</v>
      </c>
      <c r="K420" s="67" t="s">
        <v>161</v>
      </c>
      <c r="L420" s="67" t="s">
        <v>3101</v>
      </c>
      <c r="M420" s="67" t="s">
        <v>3102</v>
      </c>
      <c r="N420" s="67" t="s">
        <v>3102</v>
      </c>
      <c r="O420" s="67" t="s">
        <v>165</v>
      </c>
      <c r="P420" s="67" t="s">
        <v>3103</v>
      </c>
    </row>
    <row r="421" s="43" customFormat="1" hidden="1" customHeight="1" spans="1:16">
      <c r="A421" s="67" t="s">
        <v>3104</v>
      </c>
      <c r="B421" s="67">
        <v>35.75</v>
      </c>
      <c r="C421" s="67">
        <v>4</v>
      </c>
      <c r="D421" s="67" t="s">
        <v>3105</v>
      </c>
      <c r="E421" s="67" t="s">
        <v>3106</v>
      </c>
      <c r="F421" s="67" t="s">
        <v>12</v>
      </c>
      <c r="G421" s="67" t="s">
        <v>3107</v>
      </c>
      <c r="H421" s="67" t="s">
        <v>3108</v>
      </c>
      <c r="I421" s="67" t="s">
        <v>161</v>
      </c>
      <c r="J421" s="67" t="s">
        <v>161</v>
      </c>
      <c r="K421" s="67" t="s">
        <v>161</v>
      </c>
      <c r="L421" s="67" t="s">
        <v>3109</v>
      </c>
      <c r="M421" s="67" t="s">
        <v>3110</v>
      </c>
      <c r="N421" s="67" t="s">
        <v>3110</v>
      </c>
      <c r="O421" s="67" t="s">
        <v>165</v>
      </c>
      <c r="P421" s="67" t="s">
        <v>3111</v>
      </c>
    </row>
    <row r="422" s="43" customFormat="1" hidden="1" customHeight="1" spans="1:16">
      <c r="A422" s="67" t="s">
        <v>3112</v>
      </c>
      <c r="B422" s="67">
        <v>35.75</v>
      </c>
      <c r="C422" s="67">
        <v>4</v>
      </c>
      <c r="D422" s="67" t="s">
        <v>3113</v>
      </c>
      <c r="E422" s="67" t="s">
        <v>3114</v>
      </c>
      <c r="F422" s="67" t="s">
        <v>12</v>
      </c>
      <c r="G422" s="67" t="s">
        <v>3115</v>
      </c>
      <c r="H422" s="67" t="s">
        <v>3116</v>
      </c>
      <c r="I422" s="67" t="s">
        <v>161</v>
      </c>
      <c r="J422" s="67" t="s">
        <v>161</v>
      </c>
      <c r="K422" s="67" t="s">
        <v>161</v>
      </c>
      <c r="L422" s="67" t="s">
        <v>3117</v>
      </c>
      <c r="M422" s="67" t="s">
        <v>3118</v>
      </c>
      <c r="N422" s="67" t="s">
        <v>3118</v>
      </c>
      <c r="O422" s="67" t="s">
        <v>165</v>
      </c>
      <c r="P422" s="67" t="s">
        <v>3119</v>
      </c>
    </row>
    <row r="423" s="43" customFormat="1" hidden="1" customHeight="1" spans="1:16">
      <c r="A423" s="67" t="s">
        <v>3120</v>
      </c>
      <c r="B423" s="67">
        <v>43.2</v>
      </c>
      <c r="C423" s="67">
        <v>4</v>
      </c>
      <c r="D423" s="67" t="s">
        <v>3121</v>
      </c>
      <c r="E423" s="67" t="s">
        <v>3122</v>
      </c>
      <c r="F423" s="67" t="s">
        <v>12</v>
      </c>
      <c r="G423" s="67" t="s">
        <v>3123</v>
      </c>
      <c r="H423" s="67" t="s">
        <v>3124</v>
      </c>
      <c r="I423" s="67" t="s">
        <v>161</v>
      </c>
      <c r="J423" s="67" t="s">
        <v>161</v>
      </c>
      <c r="K423" s="67" t="s">
        <v>161</v>
      </c>
      <c r="L423" s="67" t="s">
        <v>3125</v>
      </c>
      <c r="M423" s="67" t="s">
        <v>3126</v>
      </c>
      <c r="N423" s="67" t="s">
        <v>3126</v>
      </c>
      <c r="O423" s="67" t="s">
        <v>165</v>
      </c>
      <c r="P423" s="67" t="s">
        <v>3127</v>
      </c>
    </row>
    <row r="424" s="43" customFormat="1" hidden="1" customHeight="1" spans="1:16">
      <c r="A424" s="67" t="s">
        <v>3128</v>
      </c>
      <c r="B424" s="67">
        <v>59.65</v>
      </c>
      <c r="C424" s="67">
        <v>6</v>
      </c>
      <c r="D424" s="67" t="s">
        <v>3129</v>
      </c>
      <c r="E424" s="67" t="s">
        <v>3130</v>
      </c>
      <c r="F424" s="67" t="s">
        <v>12</v>
      </c>
      <c r="G424" s="67" t="s">
        <v>3131</v>
      </c>
      <c r="H424" s="67" t="s">
        <v>3132</v>
      </c>
      <c r="I424" s="67" t="s">
        <v>161</v>
      </c>
      <c r="J424" s="67" t="s">
        <v>161</v>
      </c>
      <c r="K424" s="67" t="s">
        <v>161</v>
      </c>
      <c r="L424" s="67" t="s">
        <v>3133</v>
      </c>
      <c r="M424" s="67" t="s">
        <v>3134</v>
      </c>
      <c r="N424" s="67" t="s">
        <v>3134</v>
      </c>
      <c r="O424" s="67" t="s">
        <v>165</v>
      </c>
      <c r="P424" s="67" t="s">
        <v>3135</v>
      </c>
    </row>
    <row r="425" s="43" customFormat="1" customHeight="1" spans="1:16">
      <c r="A425" s="67" t="s">
        <v>3136</v>
      </c>
      <c r="B425" s="67">
        <v>61.6</v>
      </c>
      <c r="C425" s="67">
        <v>7</v>
      </c>
      <c r="D425" s="67" t="s">
        <v>601</v>
      </c>
      <c r="E425" s="67" t="s">
        <v>3137</v>
      </c>
      <c r="F425" s="67" t="s">
        <v>12</v>
      </c>
      <c r="G425" s="67" t="s">
        <v>3138</v>
      </c>
      <c r="H425" s="67" t="s">
        <v>3139</v>
      </c>
      <c r="I425" s="67" t="s">
        <v>161</v>
      </c>
      <c r="J425" s="67" t="s">
        <v>161</v>
      </c>
      <c r="K425" s="67" t="s">
        <v>161</v>
      </c>
      <c r="L425" s="67" t="s">
        <v>3140</v>
      </c>
      <c r="M425" s="67" t="s">
        <v>3141</v>
      </c>
      <c r="N425" s="67" t="s">
        <v>3141</v>
      </c>
      <c r="O425" s="67" t="s">
        <v>165</v>
      </c>
      <c r="P425" s="67" t="s">
        <v>3142</v>
      </c>
    </row>
    <row r="426" s="43" customFormat="1" customHeight="1" spans="1:16">
      <c r="A426" s="67" t="s">
        <v>3143</v>
      </c>
      <c r="B426" s="67">
        <v>79.99</v>
      </c>
      <c r="C426" s="67">
        <v>8</v>
      </c>
      <c r="D426" s="67" t="s">
        <v>3144</v>
      </c>
      <c r="E426" s="67" t="s">
        <v>3145</v>
      </c>
      <c r="F426" s="67" t="s">
        <v>98</v>
      </c>
      <c r="G426" s="67" t="s">
        <v>3146</v>
      </c>
      <c r="H426" s="67" t="s">
        <v>3147</v>
      </c>
      <c r="I426" s="67" t="s">
        <v>161</v>
      </c>
      <c r="J426" s="67" t="s">
        <v>161</v>
      </c>
      <c r="K426" s="67" t="s">
        <v>161</v>
      </c>
      <c r="L426" s="67" t="s">
        <v>3148</v>
      </c>
      <c r="M426" s="67" t="s">
        <v>3149</v>
      </c>
      <c r="N426" s="67" t="s">
        <v>3149</v>
      </c>
      <c r="O426" s="67" t="s">
        <v>165</v>
      </c>
      <c r="P426" s="67" t="s">
        <v>3045</v>
      </c>
    </row>
    <row r="427" s="43" customFormat="1" hidden="1" customHeight="1" spans="1:16">
      <c r="A427" s="67" t="s">
        <v>3150</v>
      </c>
      <c r="B427" s="67">
        <v>26.89</v>
      </c>
      <c r="C427" s="67">
        <v>2</v>
      </c>
      <c r="D427" s="67" t="s">
        <v>2681</v>
      </c>
      <c r="E427" s="67" t="s">
        <v>317</v>
      </c>
      <c r="F427" s="67" t="s">
        <v>12</v>
      </c>
      <c r="G427" s="67" t="s">
        <v>3151</v>
      </c>
      <c r="H427" s="67" t="s">
        <v>3152</v>
      </c>
      <c r="I427" s="67" t="s">
        <v>161</v>
      </c>
      <c r="J427" s="67" t="s">
        <v>161</v>
      </c>
      <c r="K427" s="67" t="s">
        <v>161</v>
      </c>
      <c r="L427" s="67" t="s">
        <v>3153</v>
      </c>
      <c r="M427" s="67" t="s">
        <v>3154</v>
      </c>
      <c r="N427" s="67" t="s">
        <v>3154</v>
      </c>
      <c r="O427" s="67" t="s">
        <v>165</v>
      </c>
      <c r="P427" s="67" t="s">
        <v>3155</v>
      </c>
    </row>
    <row r="428" s="43" customFormat="1" hidden="1" customHeight="1" spans="1:16">
      <c r="A428" s="67" t="s">
        <v>3156</v>
      </c>
      <c r="B428" s="67">
        <v>26.89</v>
      </c>
      <c r="C428" s="67">
        <v>2</v>
      </c>
      <c r="D428" s="67" t="s">
        <v>2165</v>
      </c>
      <c r="E428" s="67" t="s">
        <v>233</v>
      </c>
      <c r="F428" s="67" t="s">
        <v>12</v>
      </c>
      <c r="G428" s="67" t="s">
        <v>3157</v>
      </c>
      <c r="H428" s="67" t="s">
        <v>3158</v>
      </c>
      <c r="I428" s="67" t="s">
        <v>161</v>
      </c>
      <c r="J428" s="67" t="s">
        <v>161</v>
      </c>
      <c r="K428" s="67" t="s">
        <v>161</v>
      </c>
      <c r="L428" s="67" t="s">
        <v>3159</v>
      </c>
      <c r="M428" s="67" t="s">
        <v>3160</v>
      </c>
      <c r="N428" s="67" t="s">
        <v>3160</v>
      </c>
      <c r="O428" s="67" t="s">
        <v>165</v>
      </c>
      <c r="P428" s="67" t="s">
        <v>3161</v>
      </c>
    </row>
    <row r="429" s="43" customFormat="1" customHeight="1" spans="1:16">
      <c r="A429" s="67" t="s">
        <v>3162</v>
      </c>
      <c r="B429" s="67">
        <v>105.45</v>
      </c>
      <c r="C429" s="67">
        <v>8</v>
      </c>
      <c r="D429" s="67" t="s">
        <v>3163</v>
      </c>
      <c r="E429" s="67" t="s">
        <v>3164</v>
      </c>
      <c r="F429" s="67" t="s">
        <v>12</v>
      </c>
      <c r="G429" s="67" t="s">
        <v>3165</v>
      </c>
      <c r="H429" s="67" t="s">
        <v>3166</v>
      </c>
      <c r="I429" s="67" t="s">
        <v>161</v>
      </c>
      <c r="J429" s="67" t="s">
        <v>161</v>
      </c>
      <c r="K429" s="67" t="s">
        <v>161</v>
      </c>
      <c r="L429" s="67" t="s">
        <v>3167</v>
      </c>
      <c r="M429" s="67" t="s">
        <v>3168</v>
      </c>
      <c r="N429" s="67" t="s">
        <v>3168</v>
      </c>
      <c r="O429" s="67" t="s">
        <v>165</v>
      </c>
      <c r="P429" s="67" t="s">
        <v>3169</v>
      </c>
    </row>
    <row r="430" s="43" customFormat="1" hidden="1" customHeight="1" spans="1:16">
      <c r="A430" s="67" t="s">
        <v>3170</v>
      </c>
      <c r="B430" s="67">
        <v>26.89</v>
      </c>
      <c r="C430" s="67">
        <v>2</v>
      </c>
      <c r="D430" s="67" t="s">
        <v>2681</v>
      </c>
      <c r="E430" s="67" t="s">
        <v>317</v>
      </c>
      <c r="F430" s="67" t="s">
        <v>12</v>
      </c>
      <c r="G430" s="67" t="s">
        <v>3171</v>
      </c>
      <c r="H430" s="67" t="s">
        <v>3172</v>
      </c>
      <c r="I430" s="67" t="s">
        <v>161</v>
      </c>
      <c r="J430" s="67" t="s">
        <v>161</v>
      </c>
      <c r="K430" s="67" t="s">
        <v>161</v>
      </c>
      <c r="L430" s="67" t="s">
        <v>3173</v>
      </c>
      <c r="M430" s="67" t="s">
        <v>3174</v>
      </c>
      <c r="N430" s="67" t="s">
        <v>3174</v>
      </c>
      <c r="O430" s="67" t="s">
        <v>165</v>
      </c>
      <c r="P430" s="67" t="s">
        <v>3175</v>
      </c>
    </row>
    <row r="431" s="43" customFormat="1" customHeight="1" spans="1:16">
      <c r="A431" s="67" t="s">
        <v>3176</v>
      </c>
      <c r="B431" s="67">
        <v>66.5</v>
      </c>
      <c r="C431" s="67">
        <v>8</v>
      </c>
      <c r="D431" s="67" t="s">
        <v>3177</v>
      </c>
      <c r="E431" s="67" t="s">
        <v>3178</v>
      </c>
      <c r="F431" s="67" t="s">
        <v>12</v>
      </c>
      <c r="G431" s="67" t="s">
        <v>3179</v>
      </c>
      <c r="H431" s="67" t="s">
        <v>3180</v>
      </c>
      <c r="I431" s="67" t="s">
        <v>161</v>
      </c>
      <c r="J431" s="67" t="s">
        <v>161</v>
      </c>
      <c r="K431" s="67" t="s">
        <v>161</v>
      </c>
      <c r="L431" s="67" t="s">
        <v>3181</v>
      </c>
      <c r="M431" s="67" t="s">
        <v>3182</v>
      </c>
      <c r="N431" s="67" t="s">
        <v>3182</v>
      </c>
      <c r="O431" s="67" t="s">
        <v>165</v>
      </c>
      <c r="P431" s="67" t="s">
        <v>3183</v>
      </c>
    </row>
    <row r="432" s="43" customFormat="1" hidden="1" customHeight="1" spans="1:16">
      <c r="A432" s="67" t="s">
        <v>3184</v>
      </c>
      <c r="B432" s="67">
        <v>21.79</v>
      </c>
      <c r="C432" s="67">
        <v>3</v>
      </c>
      <c r="D432" s="67" t="s">
        <v>3185</v>
      </c>
      <c r="E432" s="67" t="s">
        <v>1918</v>
      </c>
      <c r="F432" s="67" t="s">
        <v>12</v>
      </c>
      <c r="G432" s="67" t="s">
        <v>3186</v>
      </c>
      <c r="H432" s="67" t="s">
        <v>3187</v>
      </c>
      <c r="I432" s="67" t="s">
        <v>161</v>
      </c>
      <c r="J432" s="67" t="s">
        <v>161</v>
      </c>
      <c r="K432" s="67" t="s">
        <v>161</v>
      </c>
      <c r="L432" s="67" t="s">
        <v>3188</v>
      </c>
      <c r="M432" s="67" t="s">
        <v>3189</v>
      </c>
      <c r="N432" s="67" t="s">
        <v>3189</v>
      </c>
      <c r="O432" s="67" t="s">
        <v>165</v>
      </c>
      <c r="P432" s="67" t="s">
        <v>3190</v>
      </c>
    </row>
    <row r="433" s="43" customFormat="1" customHeight="1" spans="1:16">
      <c r="A433" s="67" t="s">
        <v>3191</v>
      </c>
      <c r="B433" s="67">
        <v>35.7</v>
      </c>
      <c r="C433" s="67">
        <v>4</v>
      </c>
      <c r="D433" s="67" t="s">
        <v>3192</v>
      </c>
      <c r="E433" s="67" t="s">
        <v>3193</v>
      </c>
      <c r="F433" s="67" t="s">
        <v>12</v>
      </c>
      <c r="G433" s="67" t="s">
        <v>3194</v>
      </c>
      <c r="H433" s="67" t="s">
        <v>3195</v>
      </c>
      <c r="I433" s="67" t="s">
        <v>161</v>
      </c>
      <c r="J433" s="67" t="s">
        <v>161</v>
      </c>
      <c r="K433" s="67" t="s">
        <v>161</v>
      </c>
      <c r="L433" s="67" t="s">
        <v>3196</v>
      </c>
      <c r="M433" s="67" t="s">
        <v>3197</v>
      </c>
      <c r="N433" s="67" t="s">
        <v>3197</v>
      </c>
      <c r="O433" s="67" t="s">
        <v>165</v>
      </c>
      <c r="P433" s="67" t="s">
        <v>3198</v>
      </c>
    </row>
    <row r="434" s="43" customFormat="1" hidden="1" customHeight="1" spans="1:16">
      <c r="A434" s="67" t="s">
        <v>3199</v>
      </c>
      <c r="B434" s="67">
        <v>26.89</v>
      </c>
      <c r="C434" s="67">
        <v>2</v>
      </c>
      <c r="D434" s="67" t="s">
        <v>2667</v>
      </c>
      <c r="E434" s="67" t="s">
        <v>269</v>
      </c>
      <c r="F434" s="67" t="s">
        <v>12</v>
      </c>
      <c r="G434" s="67" t="s">
        <v>3200</v>
      </c>
      <c r="H434" s="67" t="s">
        <v>3201</v>
      </c>
      <c r="I434" s="67" t="s">
        <v>161</v>
      </c>
      <c r="J434" s="67" t="s">
        <v>161</v>
      </c>
      <c r="K434" s="67" t="s">
        <v>161</v>
      </c>
      <c r="L434" s="67" t="s">
        <v>3202</v>
      </c>
      <c r="M434" s="67" t="s">
        <v>3203</v>
      </c>
      <c r="N434" s="67" t="s">
        <v>3203</v>
      </c>
      <c r="O434" s="67" t="s">
        <v>165</v>
      </c>
      <c r="P434" s="67" t="s">
        <v>3204</v>
      </c>
    </row>
    <row r="435" s="43" customFormat="1" hidden="1" customHeight="1" spans="1:16">
      <c r="A435" s="67" t="s">
        <v>3205</v>
      </c>
      <c r="B435" s="67">
        <v>26.89</v>
      </c>
      <c r="C435" s="67">
        <v>2</v>
      </c>
      <c r="D435" s="67" t="s">
        <v>3206</v>
      </c>
      <c r="E435" s="67" t="s">
        <v>254</v>
      </c>
      <c r="F435" s="67" t="s">
        <v>12</v>
      </c>
      <c r="G435" s="67" t="s">
        <v>3207</v>
      </c>
      <c r="H435" s="67" t="s">
        <v>3208</v>
      </c>
      <c r="I435" s="67" t="s">
        <v>161</v>
      </c>
      <c r="J435" s="67" t="s">
        <v>161</v>
      </c>
      <c r="K435" s="67" t="s">
        <v>161</v>
      </c>
      <c r="L435" s="67" t="s">
        <v>3209</v>
      </c>
      <c r="M435" s="67" t="s">
        <v>3210</v>
      </c>
      <c r="N435" s="67" t="s">
        <v>3210</v>
      </c>
      <c r="O435" s="67" t="s">
        <v>165</v>
      </c>
      <c r="P435" s="67" t="s">
        <v>3211</v>
      </c>
    </row>
    <row r="436" s="43" customFormat="1" customHeight="1" spans="1:16">
      <c r="A436" s="67" t="s">
        <v>3212</v>
      </c>
      <c r="B436" s="67">
        <v>35.7</v>
      </c>
      <c r="C436" s="67">
        <v>4</v>
      </c>
      <c r="D436" s="67" t="s">
        <v>2929</v>
      </c>
      <c r="E436" s="67" t="s">
        <v>3213</v>
      </c>
      <c r="F436" s="67" t="s">
        <v>12</v>
      </c>
      <c r="G436" s="67" t="s">
        <v>3214</v>
      </c>
      <c r="H436" s="67" t="s">
        <v>3215</v>
      </c>
      <c r="I436" s="67" t="s">
        <v>161</v>
      </c>
      <c r="J436" s="67" t="s">
        <v>161</v>
      </c>
      <c r="K436" s="67" t="s">
        <v>161</v>
      </c>
      <c r="L436" s="67" t="s">
        <v>3216</v>
      </c>
      <c r="M436" s="67" t="s">
        <v>3217</v>
      </c>
      <c r="N436" s="67" t="s">
        <v>3217</v>
      </c>
      <c r="O436" s="67" t="s">
        <v>165</v>
      </c>
      <c r="P436" s="67" t="s">
        <v>3218</v>
      </c>
    </row>
    <row r="437" s="43" customFormat="1" customHeight="1" spans="1:16">
      <c r="A437" s="67" t="s">
        <v>3219</v>
      </c>
      <c r="B437" s="67">
        <v>30.8</v>
      </c>
      <c r="C437" s="67">
        <v>3</v>
      </c>
      <c r="D437" s="67" t="s">
        <v>173</v>
      </c>
      <c r="E437" s="67" t="s">
        <v>324</v>
      </c>
      <c r="F437" s="67" t="s">
        <v>12</v>
      </c>
      <c r="G437" s="67" t="s">
        <v>3220</v>
      </c>
      <c r="H437" s="67" t="s">
        <v>3221</v>
      </c>
      <c r="I437" s="67" t="s">
        <v>161</v>
      </c>
      <c r="J437" s="67" t="s">
        <v>161</v>
      </c>
      <c r="K437" s="67" t="s">
        <v>161</v>
      </c>
      <c r="L437" s="67" t="s">
        <v>3222</v>
      </c>
      <c r="M437" s="67" t="s">
        <v>3223</v>
      </c>
      <c r="N437" s="67" t="s">
        <v>3223</v>
      </c>
      <c r="O437" s="67" t="s">
        <v>165</v>
      </c>
      <c r="P437" s="67" t="s">
        <v>3224</v>
      </c>
    </row>
    <row r="438" s="43" customFormat="1" customHeight="1" spans="1:16">
      <c r="A438" s="67" t="s">
        <v>3225</v>
      </c>
      <c r="B438" s="67">
        <v>42.65</v>
      </c>
      <c r="C438" s="67">
        <v>5</v>
      </c>
      <c r="D438" s="67" t="s">
        <v>3226</v>
      </c>
      <c r="E438" s="67" t="s">
        <v>3227</v>
      </c>
      <c r="F438" s="67" t="s">
        <v>12</v>
      </c>
      <c r="G438" s="67" t="s">
        <v>3228</v>
      </c>
      <c r="H438" s="67" t="s">
        <v>3229</v>
      </c>
      <c r="I438" s="67" t="s">
        <v>161</v>
      </c>
      <c r="J438" s="67" t="s">
        <v>161</v>
      </c>
      <c r="K438" s="67" t="s">
        <v>161</v>
      </c>
      <c r="L438" s="67" t="s">
        <v>3230</v>
      </c>
      <c r="M438" s="67" t="s">
        <v>3231</v>
      </c>
      <c r="N438" s="67" t="s">
        <v>3231</v>
      </c>
      <c r="O438" s="67" t="s">
        <v>165</v>
      </c>
      <c r="P438" s="67" t="s">
        <v>3232</v>
      </c>
    </row>
    <row r="439" s="43" customFormat="1" customHeight="1" spans="1:16">
      <c r="A439" s="67" t="s">
        <v>3233</v>
      </c>
      <c r="B439" s="67">
        <v>35.7</v>
      </c>
      <c r="C439" s="67">
        <v>4</v>
      </c>
      <c r="D439" s="67" t="s">
        <v>565</v>
      </c>
      <c r="E439" s="67" t="s">
        <v>566</v>
      </c>
      <c r="F439" s="67" t="s">
        <v>12</v>
      </c>
      <c r="G439" s="67" t="s">
        <v>3234</v>
      </c>
      <c r="H439" s="67" t="s">
        <v>3235</v>
      </c>
      <c r="I439" s="67" t="s">
        <v>161</v>
      </c>
      <c r="J439" s="67" t="s">
        <v>161</v>
      </c>
      <c r="K439" s="67" t="s">
        <v>161</v>
      </c>
      <c r="L439" s="67" t="s">
        <v>3236</v>
      </c>
      <c r="M439" s="67" t="s">
        <v>3237</v>
      </c>
      <c r="N439" s="67" t="s">
        <v>3237</v>
      </c>
      <c r="O439" s="67" t="s">
        <v>165</v>
      </c>
      <c r="P439" s="67" t="s">
        <v>3238</v>
      </c>
    </row>
    <row r="440" s="43" customFormat="1" hidden="1" customHeight="1" spans="1:16">
      <c r="A440" s="67" t="s">
        <v>3239</v>
      </c>
      <c r="B440" s="67">
        <v>31.79</v>
      </c>
      <c r="C440" s="67">
        <v>3</v>
      </c>
      <c r="D440" s="67" t="s">
        <v>2178</v>
      </c>
      <c r="E440" s="67" t="s">
        <v>2122</v>
      </c>
      <c r="F440" s="67" t="s">
        <v>12</v>
      </c>
      <c r="G440" s="67" t="s">
        <v>3240</v>
      </c>
      <c r="H440" s="67" t="s">
        <v>3241</v>
      </c>
      <c r="I440" s="67" t="s">
        <v>161</v>
      </c>
      <c r="J440" s="67" t="s">
        <v>161</v>
      </c>
      <c r="K440" s="67" t="s">
        <v>161</v>
      </c>
      <c r="L440" s="67" t="s">
        <v>3242</v>
      </c>
      <c r="M440" s="67" t="s">
        <v>3243</v>
      </c>
      <c r="N440" s="67" t="s">
        <v>3243</v>
      </c>
      <c r="O440" s="67" t="s">
        <v>165</v>
      </c>
      <c r="P440" s="67" t="s">
        <v>3244</v>
      </c>
    </row>
    <row r="441" s="43" customFormat="1" customHeight="1" spans="1:16">
      <c r="A441" s="67" t="s">
        <v>3245</v>
      </c>
      <c r="B441" s="67">
        <v>98.09</v>
      </c>
      <c r="C441" s="67">
        <v>12</v>
      </c>
      <c r="D441" s="67" t="s">
        <v>3246</v>
      </c>
      <c r="E441" s="67" t="s">
        <v>3247</v>
      </c>
      <c r="F441" s="67" t="s">
        <v>78</v>
      </c>
      <c r="G441" s="67" t="s">
        <v>3248</v>
      </c>
      <c r="H441" s="67" t="s">
        <v>3249</v>
      </c>
      <c r="I441" s="67" t="s">
        <v>161</v>
      </c>
      <c r="J441" s="67" t="s">
        <v>161</v>
      </c>
      <c r="K441" s="67" t="s">
        <v>161</v>
      </c>
      <c r="L441" s="67" t="s">
        <v>3250</v>
      </c>
      <c r="M441" s="67" t="s">
        <v>3251</v>
      </c>
      <c r="N441" s="67" t="s">
        <v>3251</v>
      </c>
      <c r="O441" s="67" t="s">
        <v>165</v>
      </c>
      <c r="P441" s="67" t="s">
        <v>3252</v>
      </c>
    </row>
    <row r="442" s="43" customFormat="1" hidden="1" customHeight="1" spans="1:16">
      <c r="A442" s="67" t="s">
        <v>3253</v>
      </c>
      <c r="B442" s="67">
        <v>57.6</v>
      </c>
      <c r="C442" s="67">
        <v>7</v>
      </c>
      <c r="D442" s="67" t="s">
        <v>3254</v>
      </c>
      <c r="E442" s="67" t="s">
        <v>3255</v>
      </c>
      <c r="F442" s="67" t="s">
        <v>12</v>
      </c>
      <c r="G442" s="67" t="s">
        <v>3256</v>
      </c>
      <c r="H442" s="67" t="s">
        <v>3257</v>
      </c>
      <c r="I442" s="67" t="s">
        <v>161</v>
      </c>
      <c r="J442" s="67" t="s">
        <v>161</v>
      </c>
      <c r="K442" s="67" t="s">
        <v>161</v>
      </c>
      <c r="L442" s="67" t="s">
        <v>3258</v>
      </c>
      <c r="M442" s="67" t="s">
        <v>3259</v>
      </c>
      <c r="N442" s="67" t="s">
        <v>3259</v>
      </c>
      <c r="O442" s="67" t="s">
        <v>165</v>
      </c>
      <c r="P442" s="67" t="s">
        <v>3260</v>
      </c>
    </row>
    <row r="443" s="43" customFormat="1" hidden="1" customHeight="1" spans="1:16">
      <c r="A443" s="67" t="s">
        <v>3261</v>
      </c>
      <c r="B443" s="67">
        <v>23.32</v>
      </c>
      <c r="C443" s="67">
        <v>2</v>
      </c>
      <c r="D443" s="67" t="s">
        <v>3262</v>
      </c>
      <c r="E443" s="67" t="s">
        <v>3263</v>
      </c>
      <c r="F443" s="67" t="s">
        <v>12</v>
      </c>
      <c r="G443" s="67" t="s">
        <v>3264</v>
      </c>
      <c r="H443" s="67" t="s">
        <v>3265</v>
      </c>
      <c r="I443" s="67" t="s">
        <v>161</v>
      </c>
      <c r="J443" s="67" t="s">
        <v>161</v>
      </c>
      <c r="K443" s="67" t="s">
        <v>3266</v>
      </c>
      <c r="L443" s="67" t="s">
        <v>3267</v>
      </c>
      <c r="M443" s="67" t="s">
        <v>3268</v>
      </c>
      <c r="N443" s="67" t="s">
        <v>3268</v>
      </c>
      <c r="O443" s="67" t="s">
        <v>165</v>
      </c>
      <c r="P443" s="67" t="s">
        <v>3269</v>
      </c>
    </row>
    <row r="444" s="43" customFormat="1" customHeight="1" spans="1:16">
      <c r="A444" s="67" t="s">
        <v>3270</v>
      </c>
      <c r="B444" s="67">
        <v>35.7</v>
      </c>
      <c r="C444" s="67">
        <v>4</v>
      </c>
      <c r="D444" s="67" t="s">
        <v>3271</v>
      </c>
      <c r="E444" s="67" t="s">
        <v>3272</v>
      </c>
      <c r="F444" s="67" t="s">
        <v>12</v>
      </c>
      <c r="G444" s="67" t="s">
        <v>3273</v>
      </c>
      <c r="H444" s="67" t="s">
        <v>3274</v>
      </c>
      <c r="I444" s="67" t="s">
        <v>161</v>
      </c>
      <c r="J444" s="67" t="s">
        <v>161</v>
      </c>
      <c r="K444" s="67" t="s">
        <v>161</v>
      </c>
      <c r="L444" s="67" t="s">
        <v>3275</v>
      </c>
      <c r="M444" s="67" t="s">
        <v>3276</v>
      </c>
      <c r="N444" s="67" t="s">
        <v>3276</v>
      </c>
      <c r="O444" s="67" t="s">
        <v>165</v>
      </c>
      <c r="P444" s="67" t="s">
        <v>3277</v>
      </c>
    </row>
    <row r="445" s="43" customFormat="1" customHeight="1" spans="1:16">
      <c r="A445" s="67" t="s">
        <v>3278</v>
      </c>
      <c r="B445" s="67">
        <v>61.6</v>
      </c>
      <c r="C445" s="67">
        <v>7</v>
      </c>
      <c r="D445" s="67" t="s">
        <v>3279</v>
      </c>
      <c r="E445" s="67" t="s">
        <v>3280</v>
      </c>
      <c r="F445" s="67" t="s">
        <v>12</v>
      </c>
      <c r="G445" s="67" t="s">
        <v>3281</v>
      </c>
      <c r="H445" s="67" t="s">
        <v>3282</v>
      </c>
      <c r="I445" s="67" t="s">
        <v>161</v>
      </c>
      <c r="J445" s="67" t="s">
        <v>161</v>
      </c>
      <c r="K445" s="67" t="s">
        <v>161</v>
      </c>
      <c r="L445" s="67" t="s">
        <v>3283</v>
      </c>
      <c r="M445" s="67" t="s">
        <v>3284</v>
      </c>
      <c r="N445" s="67" t="s">
        <v>3284</v>
      </c>
      <c r="O445" s="67" t="s">
        <v>165</v>
      </c>
      <c r="P445" s="67" t="s">
        <v>3285</v>
      </c>
    </row>
    <row r="446" s="43" customFormat="1" hidden="1" customHeight="1" spans="1:16">
      <c r="A446" s="67" t="s">
        <v>3286</v>
      </c>
      <c r="B446" s="67">
        <v>52.7</v>
      </c>
      <c r="C446" s="67">
        <v>5</v>
      </c>
      <c r="D446" s="67" t="s">
        <v>3287</v>
      </c>
      <c r="E446" s="67" t="s">
        <v>3288</v>
      </c>
      <c r="F446" s="67" t="s">
        <v>12</v>
      </c>
      <c r="G446" s="67" t="s">
        <v>3289</v>
      </c>
      <c r="H446" s="67" t="s">
        <v>3290</v>
      </c>
      <c r="I446" s="67" t="s">
        <v>161</v>
      </c>
      <c r="J446" s="67" t="s">
        <v>649</v>
      </c>
      <c r="K446" s="67" t="s">
        <v>161</v>
      </c>
      <c r="L446" s="67" t="s">
        <v>3291</v>
      </c>
      <c r="M446" s="67" t="s">
        <v>3292</v>
      </c>
      <c r="N446" s="67" t="s">
        <v>3292</v>
      </c>
      <c r="O446" s="67" t="s">
        <v>165</v>
      </c>
      <c r="P446" s="67" t="s">
        <v>3293</v>
      </c>
    </row>
    <row r="447" s="43" customFormat="1" hidden="1" customHeight="1" spans="1:16">
      <c r="A447" s="67" t="s">
        <v>3294</v>
      </c>
      <c r="B447" s="67">
        <v>47.8</v>
      </c>
      <c r="C447" s="67">
        <v>4</v>
      </c>
      <c r="D447" s="67" t="s">
        <v>3295</v>
      </c>
      <c r="E447" s="67" t="s">
        <v>3296</v>
      </c>
      <c r="F447" s="67" t="s">
        <v>12</v>
      </c>
      <c r="G447" s="67" t="s">
        <v>3297</v>
      </c>
      <c r="H447" s="67" t="s">
        <v>3298</v>
      </c>
      <c r="I447" s="67" t="s">
        <v>161</v>
      </c>
      <c r="J447" s="67" t="s">
        <v>649</v>
      </c>
      <c r="K447" s="67" t="s">
        <v>161</v>
      </c>
      <c r="L447" s="67" t="s">
        <v>3299</v>
      </c>
      <c r="M447" s="67" t="s">
        <v>3300</v>
      </c>
      <c r="N447" s="67" t="s">
        <v>3300</v>
      </c>
      <c r="O447" s="67" t="s">
        <v>165</v>
      </c>
      <c r="P447" s="67" t="s">
        <v>3301</v>
      </c>
    </row>
    <row r="448" s="43" customFormat="1" customHeight="1" spans="1:16">
      <c r="A448" s="67" t="s">
        <v>3302</v>
      </c>
      <c r="B448" s="67">
        <v>38.39</v>
      </c>
      <c r="C448" s="67">
        <v>5</v>
      </c>
      <c r="D448" s="67" t="s">
        <v>3303</v>
      </c>
      <c r="E448" s="67" t="s">
        <v>3304</v>
      </c>
      <c r="F448" s="67" t="s">
        <v>12</v>
      </c>
      <c r="G448" s="67" t="s">
        <v>3305</v>
      </c>
      <c r="H448" s="67" t="s">
        <v>3306</v>
      </c>
      <c r="I448" s="67" t="s">
        <v>161</v>
      </c>
      <c r="J448" s="67" t="s">
        <v>161</v>
      </c>
      <c r="K448" s="67" t="s">
        <v>161</v>
      </c>
      <c r="L448" s="67" t="s">
        <v>3307</v>
      </c>
      <c r="M448" s="67" t="s">
        <v>3308</v>
      </c>
      <c r="N448" s="67" t="s">
        <v>3308</v>
      </c>
      <c r="O448" s="67" t="s">
        <v>165</v>
      </c>
      <c r="P448" s="67" t="s">
        <v>3309</v>
      </c>
    </row>
    <row r="449" s="43" customFormat="1" hidden="1" customHeight="1" spans="1:16">
      <c r="A449" s="67" t="s">
        <v>3310</v>
      </c>
      <c r="B449" s="67">
        <v>52.7</v>
      </c>
      <c r="C449" s="67">
        <v>5</v>
      </c>
      <c r="D449" s="67" t="s">
        <v>3311</v>
      </c>
      <c r="E449" s="67" t="s">
        <v>3312</v>
      </c>
      <c r="F449" s="67" t="s">
        <v>12</v>
      </c>
      <c r="G449" s="67" t="s">
        <v>3313</v>
      </c>
      <c r="H449" s="67" t="s">
        <v>3314</v>
      </c>
      <c r="I449" s="67" t="s">
        <v>161</v>
      </c>
      <c r="J449" s="67" t="s">
        <v>649</v>
      </c>
      <c r="K449" s="67" t="s">
        <v>161</v>
      </c>
      <c r="L449" s="67" t="s">
        <v>3315</v>
      </c>
      <c r="M449" s="67" t="s">
        <v>3316</v>
      </c>
      <c r="N449" s="67" t="s">
        <v>3316</v>
      </c>
      <c r="O449" s="67" t="s">
        <v>165</v>
      </c>
      <c r="P449" s="67" t="s">
        <v>3317</v>
      </c>
    </row>
    <row r="450" s="43" customFormat="1" customHeight="1" spans="1:16">
      <c r="A450" s="67" t="s">
        <v>3318</v>
      </c>
      <c r="B450" s="67">
        <v>35.7</v>
      </c>
      <c r="C450" s="67">
        <v>4</v>
      </c>
      <c r="D450" s="67" t="s">
        <v>3319</v>
      </c>
      <c r="E450" s="67" t="s">
        <v>3320</v>
      </c>
      <c r="F450" s="67" t="s">
        <v>12</v>
      </c>
      <c r="G450" s="67" t="s">
        <v>3321</v>
      </c>
      <c r="H450" s="67" t="s">
        <v>3322</v>
      </c>
      <c r="I450" s="67" t="s">
        <v>161</v>
      </c>
      <c r="J450" s="67" t="s">
        <v>161</v>
      </c>
      <c r="K450" s="67" t="s">
        <v>161</v>
      </c>
      <c r="L450" s="67" t="s">
        <v>3323</v>
      </c>
      <c r="M450" s="67" t="s">
        <v>3324</v>
      </c>
      <c r="N450" s="67" t="s">
        <v>3324</v>
      </c>
      <c r="O450" s="67" t="s">
        <v>165</v>
      </c>
      <c r="P450" s="67" t="s">
        <v>3325</v>
      </c>
    </row>
    <row r="451" s="43" customFormat="1" customHeight="1" spans="1:16">
      <c r="A451" s="67" t="s">
        <v>3326</v>
      </c>
      <c r="B451" s="67">
        <v>86.83</v>
      </c>
      <c r="C451" s="67">
        <v>9</v>
      </c>
      <c r="D451" s="67" t="s">
        <v>3327</v>
      </c>
      <c r="E451" s="67" t="s">
        <v>3328</v>
      </c>
      <c r="F451" s="67" t="s">
        <v>12</v>
      </c>
      <c r="G451" s="67" t="s">
        <v>3329</v>
      </c>
      <c r="H451" s="67" t="s">
        <v>3330</v>
      </c>
      <c r="I451" s="67" t="s">
        <v>161</v>
      </c>
      <c r="J451" s="67" t="s">
        <v>161</v>
      </c>
      <c r="K451" s="67" t="s">
        <v>161</v>
      </c>
      <c r="L451" s="67" t="s">
        <v>3331</v>
      </c>
      <c r="M451" s="67" t="s">
        <v>3332</v>
      </c>
      <c r="N451" s="67" t="s">
        <v>3332</v>
      </c>
      <c r="O451" s="67" t="s">
        <v>165</v>
      </c>
      <c r="P451" s="67" t="s">
        <v>3333</v>
      </c>
    </row>
    <row r="452" s="43" customFormat="1" hidden="1" customHeight="1" spans="1:16">
      <c r="A452" s="67" t="s">
        <v>3334</v>
      </c>
      <c r="B452" s="67">
        <v>54.75</v>
      </c>
      <c r="C452" s="67">
        <v>5</v>
      </c>
      <c r="D452" s="67" t="s">
        <v>3335</v>
      </c>
      <c r="E452" s="67" t="s">
        <v>3336</v>
      </c>
      <c r="F452" s="67" t="s">
        <v>12</v>
      </c>
      <c r="G452" s="67" t="s">
        <v>3337</v>
      </c>
      <c r="H452" s="67" t="s">
        <v>3338</v>
      </c>
      <c r="I452" s="67" t="s">
        <v>161</v>
      </c>
      <c r="J452" s="67" t="s">
        <v>649</v>
      </c>
      <c r="K452" s="67" t="s">
        <v>161</v>
      </c>
      <c r="L452" s="67" t="s">
        <v>3339</v>
      </c>
      <c r="M452" s="67" t="s">
        <v>3340</v>
      </c>
      <c r="N452" s="67" t="s">
        <v>3340</v>
      </c>
      <c r="O452" s="67" t="s">
        <v>165</v>
      </c>
      <c r="P452" s="67" t="s">
        <v>3341</v>
      </c>
    </row>
    <row r="453" s="43" customFormat="1" hidden="1" customHeight="1" spans="1:16">
      <c r="A453" s="67" t="s">
        <v>3342</v>
      </c>
      <c r="B453" s="67">
        <v>47.8</v>
      </c>
      <c r="C453" s="67">
        <v>4</v>
      </c>
      <c r="D453" s="67" t="s">
        <v>3343</v>
      </c>
      <c r="E453" s="67" t="s">
        <v>3344</v>
      </c>
      <c r="F453" s="67" t="s">
        <v>12</v>
      </c>
      <c r="G453" s="67" t="s">
        <v>3345</v>
      </c>
      <c r="H453" s="67" t="s">
        <v>3346</v>
      </c>
      <c r="I453" s="67" t="s">
        <v>161</v>
      </c>
      <c r="J453" s="67" t="s">
        <v>649</v>
      </c>
      <c r="K453" s="67" t="s">
        <v>161</v>
      </c>
      <c r="L453" s="67" t="s">
        <v>3347</v>
      </c>
      <c r="M453" s="67" t="s">
        <v>3348</v>
      </c>
      <c r="N453" s="67" t="s">
        <v>3348</v>
      </c>
      <c r="O453" s="67" t="s">
        <v>165</v>
      </c>
      <c r="P453" s="67" t="s">
        <v>3349</v>
      </c>
    </row>
    <row r="454" s="43" customFormat="1" customHeight="1" spans="1:16">
      <c r="A454" s="67" t="s">
        <v>3350</v>
      </c>
      <c r="B454" s="67">
        <v>35.75</v>
      </c>
      <c r="C454" s="67">
        <v>4</v>
      </c>
      <c r="D454" s="67" t="s">
        <v>3351</v>
      </c>
      <c r="E454" s="67" t="s">
        <v>3352</v>
      </c>
      <c r="F454" s="67" t="s">
        <v>78</v>
      </c>
      <c r="G454" s="67" t="s">
        <v>3353</v>
      </c>
      <c r="H454" s="67" t="s">
        <v>3354</v>
      </c>
      <c r="I454" s="67" t="s">
        <v>161</v>
      </c>
      <c r="J454" s="67" t="s">
        <v>3355</v>
      </c>
      <c r="K454" s="67" t="s">
        <v>3356</v>
      </c>
      <c r="L454" s="67" t="s">
        <v>3357</v>
      </c>
      <c r="M454" s="67" t="s">
        <v>3358</v>
      </c>
      <c r="N454" s="67" t="s">
        <v>3358</v>
      </c>
      <c r="O454" s="67" t="s">
        <v>165</v>
      </c>
      <c r="P454" s="67" t="s">
        <v>2765</v>
      </c>
    </row>
    <row r="455" s="43" customFormat="1" hidden="1" customHeight="1" spans="1:16">
      <c r="A455" s="67" t="s">
        <v>3359</v>
      </c>
      <c r="B455" s="67">
        <v>52.7</v>
      </c>
      <c r="C455" s="67">
        <v>5</v>
      </c>
      <c r="D455" s="67" t="s">
        <v>3360</v>
      </c>
      <c r="E455" s="67" t="s">
        <v>3361</v>
      </c>
      <c r="F455" s="67" t="s">
        <v>12</v>
      </c>
      <c r="G455" s="67" t="s">
        <v>3362</v>
      </c>
      <c r="H455" s="67" t="s">
        <v>3363</v>
      </c>
      <c r="I455" s="67" t="s">
        <v>161</v>
      </c>
      <c r="J455" s="67" t="s">
        <v>649</v>
      </c>
      <c r="K455" s="67" t="s">
        <v>161</v>
      </c>
      <c r="L455" s="67" t="s">
        <v>3364</v>
      </c>
      <c r="M455" s="67" t="s">
        <v>3365</v>
      </c>
      <c r="N455" s="67" t="s">
        <v>3365</v>
      </c>
      <c r="O455" s="67" t="s">
        <v>165</v>
      </c>
      <c r="P455" s="67" t="s">
        <v>3366</v>
      </c>
    </row>
    <row r="456" s="43" customFormat="1" hidden="1" customHeight="1" spans="1:16">
      <c r="A456" s="67" t="s">
        <v>3367</v>
      </c>
      <c r="B456" s="67">
        <v>30.85</v>
      </c>
      <c r="C456" s="67">
        <v>3</v>
      </c>
      <c r="D456" s="67" t="s">
        <v>3368</v>
      </c>
      <c r="E456" s="67" t="s">
        <v>3369</v>
      </c>
      <c r="F456" s="67" t="s">
        <v>12</v>
      </c>
      <c r="G456" s="67" t="s">
        <v>3370</v>
      </c>
      <c r="H456" s="67" t="s">
        <v>3371</v>
      </c>
      <c r="I456" s="67" t="s">
        <v>161</v>
      </c>
      <c r="J456" s="67" t="s">
        <v>649</v>
      </c>
      <c r="K456" s="67" t="s">
        <v>161</v>
      </c>
      <c r="L456" s="67" t="s">
        <v>3372</v>
      </c>
      <c r="M456" s="67" t="s">
        <v>3373</v>
      </c>
      <c r="N456" s="67" t="s">
        <v>3373</v>
      </c>
      <c r="O456" s="67" t="s">
        <v>165</v>
      </c>
      <c r="P456" s="67" t="s">
        <v>3374</v>
      </c>
    </row>
    <row r="457" s="43" customFormat="1" hidden="1" customHeight="1" spans="1:16">
      <c r="A457" s="67" t="s">
        <v>3375</v>
      </c>
      <c r="B457" s="67">
        <v>35.75</v>
      </c>
      <c r="C457" s="67">
        <v>4</v>
      </c>
      <c r="D457" s="67" t="s">
        <v>3376</v>
      </c>
      <c r="E457" s="67" t="s">
        <v>3377</v>
      </c>
      <c r="F457" s="67" t="s">
        <v>12</v>
      </c>
      <c r="G457" s="67" t="s">
        <v>3378</v>
      </c>
      <c r="H457" s="67" t="s">
        <v>3379</v>
      </c>
      <c r="I457" s="67" t="s">
        <v>161</v>
      </c>
      <c r="J457" s="67" t="s">
        <v>649</v>
      </c>
      <c r="K457" s="67" t="s">
        <v>161</v>
      </c>
      <c r="L457" s="67" t="s">
        <v>3380</v>
      </c>
      <c r="M457" s="67" t="s">
        <v>3381</v>
      </c>
      <c r="N457" s="67" t="s">
        <v>3381</v>
      </c>
      <c r="O457" s="67" t="s">
        <v>165</v>
      </c>
      <c r="P457" s="67" t="s">
        <v>3382</v>
      </c>
    </row>
    <row r="458" s="43" customFormat="1" hidden="1" customHeight="1" spans="1:16">
      <c r="A458" s="67" t="s">
        <v>3383</v>
      </c>
      <c r="B458" s="67">
        <v>47.8</v>
      </c>
      <c r="C458" s="67">
        <v>4</v>
      </c>
      <c r="D458" s="67" t="s">
        <v>3295</v>
      </c>
      <c r="E458" s="67" t="s">
        <v>3296</v>
      </c>
      <c r="F458" s="67" t="s">
        <v>12</v>
      </c>
      <c r="G458" s="67" t="s">
        <v>3384</v>
      </c>
      <c r="H458" s="67" t="s">
        <v>3385</v>
      </c>
      <c r="I458" s="67" t="s">
        <v>161</v>
      </c>
      <c r="J458" s="67" t="s">
        <v>649</v>
      </c>
      <c r="K458" s="67" t="s">
        <v>161</v>
      </c>
      <c r="L458" s="67" t="s">
        <v>3386</v>
      </c>
      <c r="M458" s="67" t="s">
        <v>3387</v>
      </c>
      <c r="N458" s="67" t="s">
        <v>3387</v>
      </c>
      <c r="O458" s="67" t="s">
        <v>165</v>
      </c>
      <c r="P458" s="67" t="s">
        <v>3388</v>
      </c>
    </row>
    <row r="459" s="43" customFormat="1" customHeight="1" spans="1:16">
      <c r="A459" s="67" t="s">
        <v>3389</v>
      </c>
      <c r="B459" s="67">
        <v>61.6</v>
      </c>
      <c r="C459" s="67">
        <v>7</v>
      </c>
      <c r="D459" s="67" t="s">
        <v>3390</v>
      </c>
      <c r="E459" s="67" t="s">
        <v>3391</v>
      </c>
      <c r="F459" s="67" t="s">
        <v>12</v>
      </c>
      <c r="G459" s="67" t="s">
        <v>1229</v>
      </c>
      <c r="H459" s="67" t="s">
        <v>3392</v>
      </c>
      <c r="I459" s="67" t="s">
        <v>161</v>
      </c>
      <c r="J459" s="67" t="s">
        <v>161</v>
      </c>
      <c r="K459" s="67" t="s">
        <v>161</v>
      </c>
      <c r="L459" s="67" t="s">
        <v>1231</v>
      </c>
      <c r="M459" s="67" t="s">
        <v>3393</v>
      </c>
      <c r="N459" s="67" t="s">
        <v>3393</v>
      </c>
      <c r="O459" s="67" t="s">
        <v>165</v>
      </c>
      <c r="P459" s="67" t="s">
        <v>3394</v>
      </c>
    </row>
    <row r="460" s="43" customFormat="1" hidden="1" customHeight="1" spans="1:16">
      <c r="A460" s="67" t="s">
        <v>3395</v>
      </c>
      <c r="B460" s="67">
        <v>48.7</v>
      </c>
      <c r="C460" s="67">
        <v>4</v>
      </c>
      <c r="D460" s="67" t="s">
        <v>3396</v>
      </c>
      <c r="E460" s="67" t="s">
        <v>3397</v>
      </c>
      <c r="F460" s="67" t="s">
        <v>12</v>
      </c>
      <c r="G460" s="67" t="s">
        <v>1229</v>
      </c>
      <c r="H460" s="67" t="s">
        <v>3398</v>
      </c>
      <c r="I460" s="67" t="s">
        <v>161</v>
      </c>
      <c r="J460" s="67" t="s">
        <v>649</v>
      </c>
      <c r="K460" s="67" t="s">
        <v>161</v>
      </c>
      <c r="L460" s="67" t="s">
        <v>1231</v>
      </c>
      <c r="M460" s="67" t="s">
        <v>3399</v>
      </c>
      <c r="N460" s="67" t="s">
        <v>3399</v>
      </c>
      <c r="O460" s="67" t="s">
        <v>165</v>
      </c>
      <c r="P460" s="67" t="s">
        <v>3400</v>
      </c>
    </row>
    <row r="461" s="43" customFormat="1" hidden="1" customHeight="1" spans="1:16">
      <c r="A461" s="67" t="s">
        <v>3401</v>
      </c>
      <c r="B461" s="67">
        <v>57.6</v>
      </c>
      <c r="C461" s="67">
        <v>6</v>
      </c>
      <c r="D461" s="67" t="s">
        <v>3402</v>
      </c>
      <c r="E461" s="67" t="s">
        <v>3403</v>
      </c>
      <c r="F461" s="67" t="s">
        <v>12</v>
      </c>
      <c r="G461" s="67" t="s">
        <v>1229</v>
      </c>
      <c r="H461" s="67" t="s">
        <v>3404</v>
      </c>
      <c r="I461" s="67" t="s">
        <v>161</v>
      </c>
      <c r="J461" s="67" t="s">
        <v>649</v>
      </c>
      <c r="K461" s="67" t="s">
        <v>161</v>
      </c>
      <c r="L461" s="67" t="s">
        <v>1231</v>
      </c>
      <c r="M461" s="67" t="s">
        <v>3405</v>
      </c>
      <c r="N461" s="67" t="s">
        <v>3405</v>
      </c>
      <c r="O461" s="67" t="s">
        <v>165</v>
      </c>
      <c r="P461" s="67" t="s">
        <v>3406</v>
      </c>
    </row>
    <row r="462" s="43" customFormat="1" customHeight="1" spans="1:16">
      <c r="A462" s="67" t="s">
        <v>3407</v>
      </c>
      <c r="B462" s="67">
        <v>82.35</v>
      </c>
      <c r="C462" s="67">
        <v>10</v>
      </c>
      <c r="D462" s="67" t="s">
        <v>3408</v>
      </c>
      <c r="E462" s="67" t="s">
        <v>3409</v>
      </c>
      <c r="F462" s="67" t="s">
        <v>98</v>
      </c>
      <c r="G462" s="67" t="s">
        <v>3410</v>
      </c>
      <c r="H462" s="67" t="s">
        <v>3411</v>
      </c>
      <c r="I462" s="67" t="s">
        <v>161</v>
      </c>
      <c r="J462" s="67" t="s">
        <v>161</v>
      </c>
      <c r="K462" s="67" t="s">
        <v>161</v>
      </c>
      <c r="L462" s="67" t="s">
        <v>3412</v>
      </c>
      <c r="M462" s="67" t="s">
        <v>3413</v>
      </c>
      <c r="N462" s="67" t="s">
        <v>3413</v>
      </c>
      <c r="O462" s="67" t="s">
        <v>165</v>
      </c>
      <c r="P462" s="67" t="s">
        <v>3414</v>
      </c>
    </row>
    <row r="463" s="43" customFormat="1" customHeight="1" spans="1:16">
      <c r="A463" s="67" t="s">
        <v>3415</v>
      </c>
      <c r="B463" s="67">
        <v>30.48</v>
      </c>
      <c r="C463" s="67">
        <v>3</v>
      </c>
      <c r="D463" s="67" t="s">
        <v>3416</v>
      </c>
      <c r="E463" s="67" t="s">
        <v>3417</v>
      </c>
      <c r="F463" s="67" t="s">
        <v>90</v>
      </c>
      <c r="G463" s="67" t="s">
        <v>3418</v>
      </c>
      <c r="H463" s="67" t="s">
        <v>3419</v>
      </c>
      <c r="I463" s="67" t="s">
        <v>161</v>
      </c>
      <c r="J463" s="67" t="s">
        <v>3420</v>
      </c>
      <c r="K463" s="67" t="s">
        <v>3421</v>
      </c>
      <c r="L463" s="67" t="s">
        <v>3422</v>
      </c>
      <c r="M463" s="67" t="s">
        <v>3423</v>
      </c>
      <c r="N463" s="67" t="s">
        <v>3423</v>
      </c>
      <c r="O463" s="67" t="s">
        <v>165</v>
      </c>
      <c r="P463" s="67" t="s">
        <v>3424</v>
      </c>
    </row>
    <row r="464" s="43" customFormat="1" customHeight="1" spans="1:16">
      <c r="A464" s="67" t="s">
        <v>3425</v>
      </c>
      <c r="B464" s="67">
        <v>69.6</v>
      </c>
      <c r="C464" s="67">
        <v>6</v>
      </c>
      <c r="D464" s="67" t="s">
        <v>3426</v>
      </c>
      <c r="E464" s="67" t="s">
        <v>3427</v>
      </c>
      <c r="F464" s="67" t="s">
        <v>12</v>
      </c>
      <c r="G464" s="67" t="s">
        <v>3428</v>
      </c>
      <c r="H464" s="67" t="s">
        <v>3429</v>
      </c>
      <c r="I464" s="67" t="s">
        <v>161</v>
      </c>
      <c r="J464" s="67" t="s">
        <v>161</v>
      </c>
      <c r="K464" s="67" t="s">
        <v>3430</v>
      </c>
      <c r="L464" s="67" t="s">
        <v>3431</v>
      </c>
      <c r="M464" s="67" t="s">
        <v>3432</v>
      </c>
      <c r="N464" s="67" t="s">
        <v>3432</v>
      </c>
      <c r="O464" s="67" t="s">
        <v>165</v>
      </c>
      <c r="P464" s="67" t="s">
        <v>3433</v>
      </c>
    </row>
    <row r="465" s="43" customFormat="1" customHeight="1" spans="1:16">
      <c r="A465" s="67" t="s">
        <v>3434</v>
      </c>
      <c r="B465" s="67">
        <v>54.7</v>
      </c>
      <c r="C465" s="67">
        <v>5</v>
      </c>
      <c r="D465" s="67" t="s">
        <v>3435</v>
      </c>
      <c r="E465" s="67" t="s">
        <v>3436</v>
      </c>
      <c r="F465" s="67" t="s">
        <v>12</v>
      </c>
      <c r="G465" s="67" t="s">
        <v>3437</v>
      </c>
      <c r="H465" s="67" t="s">
        <v>3438</v>
      </c>
      <c r="I465" s="67" t="s">
        <v>161</v>
      </c>
      <c r="J465" s="67" t="s">
        <v>161</v>
      </c>
      <c r="K465" s="67" t="s">
        <v>161</v>
      </c>
      <c r="L465" s="67" t="s">
        <v>3439</v>
      </c>
      <c r="M465" s="67" t="s">
        <v>3440</v>
      </c>
      <c r="N465" s="67" t="s">
        <v>3440</v>
      </c>
      <c r="O465" s="67" t="s">
        <v>165</v>
      </c>
      <c r="P465" s="67" t="s">
        <v>3441</v>
      </c>
    </row>
    <row r="466" s="43" customFormat="1" customHeight="1" spans="1:16">
      <c r="A466" s="67" t="s">
        <v>3442</v>
      </c>
      <c r="B466" s="67">
        <v>38.09</v>
      </c>
      <c r="C466" s="67">
        <v>4</v>
      </c>
      <c r="D466" s="67" t="s">
        <v>3443</v>
      </c>
      <c r="E466" s="67" t="s">
        <v>3444</v>
      </c>
      <c r="F466" s="67" t="s">
        <v>104</v>
      </c>
      <c r="G466" s="67" t="s">
        <v>3445</v>
      </c>
      <c r="H466" s="67" t="s">
        <v>3446</v>
      </c>
      <c r="I466" s="67" t="s">
        <v>161</v>
      </c>
      <c r="J466" s="67" t="s">
        <v>161</v>
      </c>
      <c r="K466" s="67" t="s">
        <v>161</v>
      </c>
      <c r="L466" s="67" t="s">
        <v>3447</v>
      </c>
      <c r="M466" s="67" t="s">
        <v>3448</v>
      </c>
      <c r="N466" s="67" t="s">
        <v>3448</v>
      </c>
      <c r="O466" s="67" t="s">
        <v>165</v>
      </c>
      <c r="P466" s="67" t="s">
        <v>3424</v>
      </c>
    </row>
    <row r="467" s="43" customFormat="1" hidden="1" customHeight="1" spans="1:16">
      <c r="A467" s="67" t="s">
        <v>3449</v>
      </c>
      <c r="B467" s="67">
        <v>116.7</v>
      </c>
      <c r="C467" s="67">
        <v>3</v>
      </c>
      <c r="D467" s="67" t="s">
        <v>3450</v>
      </c>
      <c r="E467" s="67" t="s">
        <v>2914</v>
      </c>
      <c r="F467" s="67" t="s">
        <v>12</v>
      </c>
      <c r="G467" s="67" t="s">
        <v>3451</v>
      </c>
      <c r="H467" s="67" t="s">
        <v>3452</v>
      </c>
      <c r="I467" s="67" t="s">
        <v>161</v>
      </c>
      <c r="J467" s="67" t="s">
        <v>649</v>
      </c>
      <c r="K467" s="67" t="s">
        <v>161</v>
      </c>
      <c r="L467" s="67" t="s">
        <v>3453</v>
      </c>
      <c r="M467" s="67" t="s">
        <v>3454</v>
      </c>
      <c r="N467" s="67" t="s">
        <v>3454</v>
      </c>
      <c r="O467" s="67" t="s">
        <v>165</v>
      </c>
      <c r="P467" s="67" t="s">
        <v>3455</v>
      </c>
    </row>
    <row r="468" s="43" customFormat="1" hidden="1" customHeight="1" spans="1:16">
      <c r="A468" s="67" t="s">
        <v>3456</v>
      </c>
      <c r="B468" s="67">
        <v>26.89</v>
      </c>
      <c r="C468" s="67">
        <v>2</v>
      </c>
      <c r="D468" s="67" t="s">
        <v>3457</v>
      </c>
      <c r="E468" s="67" t="s">
        <v>3458</v>
      </c>
      <c r="F468" s="67" t="s">
        <v>12</v>
      </c>
      <c r="G468" s="67" t="s">
        <v>2809</v>
      </c>
      <c r="H468" s="67" t="s">
        <v>3459</v>
      </c>
      <c r="I468" s="67" t="s">
        <v>161</v>
      </c>
      <c r="J468" s="67" t="s">
        <v>649</v>
      </c>
      <c r="K468" s="67" t="s">
        <v>3460</v>
      </c>
      <c r="L468" s="67" t="s">
        <v>3461</v>
      </c>
      <c r="M468" s="67" t="s">
        <v>3462</v>
      </c>
      <c r="N468" s="67" t="s">
        <v>3462</v>
      </c>
      <c r="O468" s="67" t="s">
        <v>165</v>
      </c>
      <c r="P468" s="67" t="s">
        <v>3463</v>
      </c>
    </row>
    <row r="469" s="43" customFormat="1" customHeight="1" spans="1:16">
      <c r="A469" s="67" t="s">
        <v>3464</v>
      </c>
      <c r="B469" s="67">
        <v>78.35</v>
      </c>
      <c r="C469" s="67">
        <v>10</v>
      </c>
      <c r="D469" s="67" t="s">
        <v>3465</v>
      </c>
      <c r="E469" s="67" t="s">
        <v>3466</v>
      </c>
      <c r="F469" s="67" t="s">
        <v>12</v>
      </c>
      <c r="G469" s="67" t="s">
        <v>3467</v>
      </c>
      <c r="H469" s="67" t="s">
        <v>3468</v>
      </c>
      <c r="I469" s="67" t="s">
        <v>161</v>
      </c>
      <c r="J469" s="67" t="s">
        <v>161</v>
      </c>
      <c r="K469" s="67" t="s">
        <v>161</v>
      </c>
      <c r="L469" s="67" t="s">
        <v>3469</v>
      </c>
      <c r="M469" s="67" t="s">
        <v>3470</v>
      </c>
      <c r="N469" s="67" t="s">
        <v>3470</v>
      </c>
      <c r="O469" s="67" t="s">
        <v>165</v>
      </c>
      <c r="P469" s="67" t="s">
        <v>3471</v>
      </c>
    </row>
    <row r="470" s="43" customFormat="1" customHeight="1" spans="1:16">
      <c r="A470" s="67" t="s">
        <v>3472</v>
      </c>
      <c r="B470" s="67">
        <v>47.8</v>
      </c>
      <c r="C470" s="67">
        <v>3</v>
      </c>
      <c r="D470" s="67" t="s">
        <v>3473</v>
      </c>
      <c r="E470" s="67" t="s">
        <v>3458</v>
      </c>
      <c r="F470" s="67" t="s">
        <v>78</v>
      </c>
      <c r="G470" s="67" t="s">
        <v>3474</v>
      </c>
      <c r="H470" s="67" t="s">
        <v>3475</v>
      </c>
      <c r="I470" s="67" t="s">
        <v>161</v>
      </c>
      <c r="J470" s="67" t="s">
        <v>161</v>
      </c>
      <c r="K470" s="67" t="s">
        <v>161</v>
      </c>
      <c r="L470" s="67" t="s">
        <v>3476</v>
      </c>
      <c r="M470" s="67" t="s">
        <v>3477</v>
      </c>
      <c r="N470" s="67" t="s">
        <v>3477</v>
      </c>
      <c r="O470" s="67" t="s">
        <v>165</v>
      </c>
      <c r="P470" s="67" t="s">
        <v>3414</v>
      </c>
    </row>
    <row r="471" s="43" customFormat="1" hidden="1" customHeight="1" spans="1:16">
      <c r="A471" s="67" t="s">
        <v>3478</v>
      </c>
      <c r="B471" s="67">
        <v>26.89</v>
      </c>
      <c r="C471" s="67">
        <v>2</v>
      </c>
      <c r="D471" s="67" t="s">
        <v>3479</v>
      </c>
      <c r="E471" s="67" t="s">
        <v>3480</v>
      </c>
      <c r="F471" s="67" t="s">
        <v>12</v>
      </c>
      <c r="G471" s="67" t="s">
        <v>3481</v>
      </c>
      <c r="H471" s="67" t="s">
        <v>3482</v>
      </c>
      <c r="I471" s="67" t="s">
        <v>161</v>
      </c>
      <c r="J471" s="67" t="s">
        <v>649</v>
      </c>
      <c r="K471" s="67" t="s">
        <v>161</v>
      </c>
      <c r="L471" s="67" t="s">
        <v>3483</v>
      </c>
      <c r="M471" s="67" t="s">
        <v>3484</v>
      </c>
      <c r="N471" s="67" t="s">
        <v>3484</v>
      </c>
      <c r="O471" s="67" t="s">
        <v>165</v>
      </c>
      <c r="P471" s="67" t="s">
        <v>3485</v>
      </c>
    </row>
    <row r="472" s="43" customFormat="1" hidden="1" customHeight="1" spans="1:16">
      <c r="A472" s="67" t="s">
        <v>3486</v>
      </c>
      <c r="B472" s="67">
        <v>19.51</v>
      </c>
      <c r="C472" s="67">
        <v>2</v>
      </c>
      <c r="D472" s="67" t="s">
        <v>3487</v>
      </c>
      <c r="E472" s="67" t="s">
        <v>3488</v>
      </c>
      <c r="F472" s="67" t="s">
        <v>12</v>
      </c>
      <c r="G472" s="67" t="s">
        <v>3489</v>
      </c>
      <c r="H472" s="67" t="s">
        <v>3490</v>
      </c>
      <c r="I472" s="67" t="s">
        <v>161</v>
      </c>
      <c r="J472" s="67" t="s">
        <v>649</v>
      </c>
      <c r="K472" s="67" t="s">
        <v>161</v>
      </c>
      <c r="L472" s="67" t="s">
        <v>3491</v>
      </c>
      <c r="M472" s="67" t="s">
        <v>3492</v>
      </c>
      <c r="N472" s="67" t="s">
        <v>3492</v>
      </c>
      <c r="O472" s="67" t="s">
        <v>165</v>
      </c>
      <c r="P472" s="67" t="s">
        <v>3493</v>
      </c>
    </row>
    <row r="473" s="43" customFormat="1" customHeight="1" spans="1:16">
      <c r="A473" s="67" t="s">
        <v>3494</v>
      </c>
      <c r="B473" s="67">
        <v>59.6</v>
      </c>
      <c r="C473" s="67">
        <v>6</v>
      </c>
      <c r="D473" s="67" t="s">
        <v>3495</v>
      </c>
      <c r="E473" s="67" t="s">
        <v>3496</v>
      </c>
      <c r="F473" s="67" t="s">
        <v>12</v>
      </c>
      <c r="G473" s="67" t="s">
        <v>3497</v>
      </c>
      <c r="H473" s="67" t="s">
        <v>3498</v>
      </c>
      <c r="I473" s="67" t="s">
        <v>161</v>
      </c>
      <c r="J473" s="67" t="s">
        <v>161</v>
      </c>
      <c r="K473" s="67" t="s">
        <v>161</v>
      </c>
      <c r="L473" s="67" t="s">
        <v>3499</v>
      </c>
      <c r="M473" s="67" t="s">
        <v>3500</v>
      </c>
      <c r="N473" s="67" t="s">
        <v>3500</v>
      </c>
      <c r="O473" s="67" t="s">
        <v>165</v>
      </c>
      <c r="P473" s="67" t="s">
        <v>3501</v>
      </c>
    </row>
    <row r="474" s="43" customFormat="1" hidden="1" customHeight="1" spans="1:16">
      <c r="A474" s="67" t="s">
        <v>3502</v>
      </c>
      <c r="B474" s="67">
        <v>43.73</v>
      </c>
      <c r="C474" s="67">
        <v>5</v>
      </c>
      <c r="D474" s="67" t="s">
        <v>3503</v>
      </c>
      <c r="E474" s="67" t="s">
        <v>3504</v>
      </c>
      <c r="F474" s="67" t="s">
        <v>12</v>
      </c>
      <c r="G474" s="67" t="s">
        <v>3505</v>
      </c>
      <c r="H474" s="67" t="s">
        <v>3506</v>
      </c>
      <c r="I474" s="67" t="s">
        <v>161</v>
      </c>
      <c r="J474" s="67" t="s">
        <v>649</v>
      </c>
      <c r="K474" s="67" t="s">
        <v>161</v>
      </c>
      <c r="L474" s="67" t="s">
        <v>3507</v>
      </c>
      <c r="M474" s="67" t="s">
        <v>3508</v>
      </c>
      <c r="N474" s="67" t="s">
        <v>3508</v>
      </c>
      <c r="O474" s="67" t="s">
        <v>165</v>
      </c>
      <c r="P474" s="67" t="s">
        <v>3509</v>
      </c>
    </row>
    <row r="475" s="43" customFormat="1" customHeight="1" spans="1:16">
      <c r="A475" s="67" t="s">
        <v>3510</v>
      </c>
      <c r="B475" s="67">
        <v>35.7</v>
      </c>
      <c r="C475" s="67">
        <v>4</v>
      </c>
      <c r="D475" s="67" t="s">
        <v>3319</v>
      </c>
      <c r="E475" s="67" t="s">
        <v>3320</v>
      </c>
      <c r="F475" s="67" t="s">
        <v>12</v>
      </c>
      <c r="G475" s="67" t="s">
        <v>3511</v>
      </c>
      <c r="H475" s="67" t="s">
        <v>3512</v>
      </c>
      <c r="I475" s="67" t="s">
        <v>161</v>
      </c>
      <c r="J475" s="67" t="s">
        <v>161</v>
      </c>
      <c r="K475" s="67" t="s">
        <v>3513</v>
      </c>
      <c r="L475" s="67" t="s">
        <v>3514</v>
      </c>
      <c r="M475" s="67" t="s">
        <v>3515</v>
      </c>
      <c r="N475" s="67" t="s">
        <v>3515</v>
      </c>
      <c r="O475" s="67" t="s">
        <v>165</v>
      </c>
      <c r="P475" s="67" t="s">
        <v>3516</v>
      </c>
    </row>
    <row r="476" s="43" customFormat="1" customHeight="1" spans="1:16">
      <c r="A476" s="67" t="s">
        <v>3517</v>
      </c>
      <c r="B476" s="67">
        <v>35.7</v>
      </c>
      <c r="C476" s="67">
        <v>4</v>
      </c>
      <c r="D476" s="67" t="s">
        <v>3319</v>
      </c>
      <c r="E476" s="67" t="s">
        <v>3320</v>
      </c>
      <c r="F476" s="67" t="s">
        <v>12</v>
      </c>
      <c r="G476" s="67" t="s">
        <v>3518</v>
      </c>
      <c r="H476" s="67" t="s">
        <v>3519</v>
      </c>
      <c r="I476" s="67" t="s">
        <v>161</v>
      </c>
      <c r="J476" s="67" t="s">
        <v>161</v>
      </c>
      <c r="K476" s="67" t="s">
        <v>161</v>
      </c>
      <c r="L476" s="67" t="s">
        <v>3520</v>
      </c>
      <c r="M476" s="67" t="s">
        <v>3521</v>
      </c>
      <c r="N476" s="67" t="s">
        <v>3521</v>
      </c>
      <c r="O476" s="67" t="s">
        <v>165</v>
      </c>
      <c r="P476" s="67" t="s">
        <v>3522</v>
      </c>
    </row>
    <row r="477" s="43" customFormat="1" hidden="1" customHeight="1" spans="1:16">
      <c r="A477" s="67" t="s">
        <v>3523</v>
      </c>
      <c r="B477" s="67">
        <v>19.74</v>
      </c>
      <c r="C477" s="67">
        <v>4</v>
      </c>
      <c r="D477" s="67" t="s">
        <v>3524</v>
      </c>
      <c r="E477" s="67" t="s">
        <v>3525</v>
      </c>
      <c r="F477" s="67" t="s">
        <v>12</v>
      </c>
      <c r="G477" s="67" t="s">
        <v>3526</v>
      </c>
      <c r="H477" s="67" t="s">
        <v>3527</v>
      </c>
      <c r="I477" s="67" t="s">
        <v>161</v>
      </c>
      <c r="J477" s="67" t="s">
        <v>649</v>
      </c>
      <c r="K477" s="67" t="s">
        <v>161</v>
      </c>
      <c r="L477" s="67" t="s">
        <v>3528</v>
      </c>
      <c r="M477" s="67" t="s">
        <v>3529</v>
      </c>
      <c r="N477" s="67" t="s">
        <v>3529</v>
      </c>
      <c r="O477" s="67" t="s">
        <v>165</v>
      </c>
      <c r="P477" s="67" t="s">
        <v>3530</v>
      </c>
    </row>
    <row r="478" s="43" customFormat="1" hidden="1" customHeight="1" spans="1:16">
      <c r="A478" s="67" t="s">
        <v>3531</v>
      </c>
      <c r="B478" s="67">
        <v>30.85</v>
      </c>
      <c r="C478" s="67">
        <v>3</v>
      </c>
      <c r="D478" s="67" t="s">
        <v>3532</v>
      </c>
      <c r="E478" s="67" t="s">
        <v>3533</v>
      </c>
      <c r="F478" s="67" t="s">
        <v>12</v>
      </c>
      <c r="G478" s="67" t="s">
        <v>3534</v>
      </c>
      <c r="H478" s="67" t="s">
        <v>3535</v>
      </c>
      <c r="I478" s="67" t="s">
        <v>161</v>
      </c>
      <c r="J478" s="67" t="s">
        <v>649</v>
      </c>
      <c r="K478" s="67" t="s">
        <v>3536</v>
      </c>
      <c r="L478" s="67" t="s">
        <v>3537</v>
      </c>
      <c r="M478" s="67" t="s">
        <v>3538</v>
      </c>
      <c r="N478" s="67" t="s">
        <v>3538</v>
      </c>
      <c r="O478" s="67" t="s">
        <v>165</v>
      </c>
      <c r="P478" s="67" t="s">
        <v>3539</v>
      </c>
    </row>
    <row r="479" s="43" customFormat="1" customHeight="1" spans="1:16">
      <c r="A479" s="67" t="s">
        <v>3540</v>
      </c>
      <c r="B479" s="67">
        <v>105.1</v>
      </c>
      <c r="C479" s="67">
        <v>12</v>
      </c>
      <c r="D479" s="67" t="s">
        <v>3541</v>
      </c>
      <c r="E479" s="67" t="s">
        <v>3542</v>
      </c>
      <c r="F479" s="67" t="s">
        <v>12</v>
      </c>
      <c r="G479" s="67" t="s">
        <v>3543</v>
      </c>
      <c r="H479" s="67" t="s">
        <v>3544</v>
      </c>
      <c r="I479" s="67" t="s">
        <v>161</v>
      </c>
      <c r="J479" s="67" t="s">
        <v>161</v>
      </c>
      <c r="K479" s="67" t="s">
        <v>161</v>
      </c>
      <c r="L479" s="67" t="s">
        <v>3545</v>
      </c>
      <c r="M479" s="67" t="s">
        <v>3546</v>
      </c>
      <c r="N479" s="67" t="s">
        <v>3546</v>
      </c>
      <c r="O479" s="67" t="s">
        <v>165</v>
      </c>
      <c r="P479" s="67" t="s">
        <v>3547</v>
      </c>
    </row>
    <row r="480" s="43" customFormat="1" hidden="1" customHeight="1" spans="1:16">
      <c r="A480" s="67" t="s">
        <v>3548</v>
      </c>
      <c r="B480" s="67">
        <v>67.1</v>
      </c>
      <c r="C480" s="67">
        <v>4</v>
      </c>
      <c r="D480" s="67" t="s">
        <v>3549</v>
      </c>
      <c r="E480" s="67" t="s">
        <v>3550</v>
      </c>
      <c r="F480" s="67" t="s">
        <v>12</v>
      </c>
      <c r="G480" s="67" t="s">
        <v>3551</v>
      </c>
      <c r="H480" s="67" t="s">
        <v>3552</v>
      </c>
      <c r="I480" s="67" t="s">
        <v>161</v>
      </c>
      <c r="J480" s="67" t="s">
        <v>161</v>
      </c>
      <c r="K480" s="67" t="s">
        <v>161</v>
      </c>
      <c r="L480" s="67" t="s">
        <v>3553</v>
      </c>
      <c r="M480" s="67" t="s">
        <v>3554</v>
      </c>
      <c r="N480" s="67" t="s">
        <v>3554</v>
      </c>
      <c r="O480" s="67" t="s">
        <v>165</v>
      </c>
      <c r="P480" s="67" t="s">
        <v>3555</v>
      </c>
    </row>
    <row r="481" s="43" customFormat="1" customHeight="1" spans="1:16">
      <c r="A481" s="67" t="s">
        <v>3556</v>
      </c>
      <c r="B481" s="67">
        <v>35.7</v>
      </c>
      <c r="C481" s="67">
        <v>4</v>
      </c>
      <c r="D481" s="67" t="s">
        <v>3557</v>
      </c>
      <c r="E481" s="67" t="s">
        <v>3558</v>
      </c>
      <c r="F481" s="67" t="s">
        <v>78</v>
      </c>
      <c r="G481" s="67" t="s">
        <v>3559</v>
      </c>
      <c r="H481" s="67" t="s">
        <v>3560</v>
      </c>
      <c r="I481" s="67" t="s">
        <v>161</v>
      </c>
      <c r="J481" s="67" t="s">
        <v>161</v>
      </c>
      <c r="K481" s="67" t="s">
        <v>161</v>
      </c>
      <c r="L481" s="67" t="s">
        <v>3561</v>
      </c>
      <c r="M481" s="67" t="s">
        <v>3562</v>
      </c>
      <c r="N481" s="67" t="s">
        <v>3562</v>
      </c>
      <c r="O481" s="67" t="s">
        <v>165</v>
      </c>
      <c r="P481" s="67" t="s">
        <v>3563</v>
      </c>
    </row>
    <row r="482" s="43" customFormat="1" customHeight="1" spans="1:16">
      <c r="A482" s="67" t="s">
        <v>3564</v>
      </c>
      <c r="B482" s="67">
        <v>42.65</v>
      </c>
      <c r="C482" s="67">
        <v>5</v>
      </c>
      <c r="D482" s="67" t="s">
        <v>3565</v>
      </c>
      <c r="E482" s="67" t="s">
        <v>3566</v>
      </c>
      <c r="F482" s="67" t="s">
        <v>12</v>
      </c>
      <c r="G482" s="67" t="s">
        <v>3567</v>
      </c>
      <c r="H482" s="67" t="s">
        <v>3568</v>
      </c>
      <c r="I482" s="67" t="s">
        <v>161</v>
      </c>
      <c r="J482" s="67" t="s">
        <v>161</v>
      </c>
      <c r="K482" s="67" t="s">
        <v>161</v>
      </c>
      <c r="L482" s="67" t="s">
        <v>3569</v>
      </c>
      <c r="M482" s="67" t="s">
        <v>3570</v>
      </c>
      <c r="N482" s="67" t="s">
        <v>3570</v>
      </c>
      <c r="O482" s="67" t="s">
        <v>165</v>
      </c>
      <c r="P482" s="67" t="s">
        <v>3571</v>
      </c>
    </row>
    <row r="483" s="43" customFormat="1" hidden="1" customHeight="1" spans="1:16">
      <c r="A483" s="67" t="s">
        <v>3572</v>
      </c>
      <c r="B483" s="67">
        <v>35.75</v>
      </c>
      <c r="C483" s="67">
        <v>4</v>
      </c>
      <c r="D483" s="67" t="s">
        <v>3573</v>
      </c>
      <c r="E483" s="67" t="s">
        <v>3574</v>
      </c>
      <c r="F483" s="67" t="s">
        <v>12</v>
      </c>
      <c r="G483" s="67" t="s">
        <v>3575</v>
      </c>
      <c r="H483" s="67" t="s">
        <v>3576</v>
      </c>
      <c r="I483" s="67" t="s">
        <v>161</v>
      </c>
      <c r="J483" s="67" t="s">
        <v>161</v>
      </c>
      <c r="K483" s="67" t="s">
        <v>161</v>
      </c>
      <c r="L483" s="67" t="s">
        <v>3577</v>
      </c>
      <c r="M483" s="67" t="s">
        <v>3578</v>
      </c>
      <c r="N483" s="67" t="s">
        <v>3578</v>
      </c>
      <c r="O483" s="67" t="s">
        <v>165</v>
      </c>
      <c r="P483" s="67" t="s">
        <v>3579</v>
      </c>
    </row>
    <row r="484" s="43" customFormat="1" hidden="1" customHeight="1" spans="1:16">
      <c r="A484" s="67" t="s">
        <v>3580</v>
      </c>
      <c r="B484" s="67">
        <v>26.89</v>
      </c>
      <c r="C484" s="67">
        <v>2</v>
      </c>
      <c r="D484" s="67" t="s">
        <v>3581</v>
      </c>
      <c r="E484" s="67" t="s">
        <v>3582</v>
      </c>
      <c r="F484" s="67" t="s">
        <v>12</v>
      </c>
      <c r="G484" s="67" t="s">
        <v>3583</v>
      </c>
      <c r="H484" s="67" t="s">
        <v>3584</v>
      </c>
      <c r="I484" s="67" t="s">
        <v>161</v>
      </c>
      <c r="J484" s="67" t="s">
        <v>161</v>
      </c>
      <c r="K484" s="67" t="s">
        <v>161</v>
      </c>
      <c r="L484" s="67" t="s">
        <v>3585</v>
      </c>
      <c r="M484" s="67" t="s">
        <v>3586</v>
      </c>
      <c r="N484" s="67" t="s">
        <v>3586</v>
      </c>
      <c r="O484" s="67" t="s">
        <v>165</v>
      </c>
      <c r="P484" s="67" t="s">
        <v>3587</v>
      </c>
    </row>
    <row r="485" s="43" customFormat="1" customHeight="1" spans="1:16">
      <c r="A485" s="67" t="s">
        <v>3588</v>
      </c>
      <c r="B485" s="67">
        <v>33.12</v>
      </c>
      <c r="C485" s="67">
        <v>3</v>
      </c>
      <c r="D485" s="67" t="s">
        <v>3589</v>
      </c>
      <c r="E485" s="67" t="s">
        <v>3590</v>
      </c>
      <c r="F485" s="67" t="s">
        <v>98</v>
      </c>
      <c r="G485" s="67" t="s">
        <v>3591</v>
      </c>
      <c r="H485" s="67" t="s">
        <v>3592</v>
      </c>
      <c r="I485" s="67" t="s">
        <v>161</v>
      </c>
      <c r="J485" s="67" t="s">
        <v>161</v>
      </c>
      <c r="K485" s="67" t="s">
        <v>161</v>
      </c>
      <c r="L485" s="67" t="s">
        <v>3593</v>
      </c>
      <c r="M485" s="67" t="s">
        <v>3594</v>
      </c>
      <c r="N485" s="67" t="s">
        <v>3594</v>
      </c>
      <c r="O485" s="67" t="s">
        <v>165</v>
      </c>
      <c r="P485" s="67" t="s">
        <v>3595</v>
      </c>
    </row>
    <row r="486" s="43" customFormat="1" hidden="1" customHeight="1" spans="1:16">
      <c r="A486" s="67" t="s">
        <v>3596</v>
      </c>
      <c r="B486" s="67">
        <v>30.85</v>
      </c>
      <c r="C486" s="67">
        <v>3</v>
      </c>
      <c r="D486" s="67" t="s">
        <v>3597</v>
      </c>
      <c r="E486" s="67" t="s">
        <v>3598</v>
      </c>
      <c r="F486" s="67" t="s">
        <v>12</v>
      </c>
      <c r="G486" s="67" t="s">
        <v>3599</v>
      </c>
      <c r="H486" s="67" t="s">
        <v>3600</v>
      </c>
      <c r="I486" s="67" t="s">
        <v>161</v>
      </c>
      <c r="J486" s="67" t="s">
        <v>161</v>
      </c>
      <c r="K486" s="67" t="s">
        <v>161</v>
      </c>
      <c r="L486" s="67" t="s">
        <v>3601</v>
      </c>
      <c r="M486" s="67" t="s">
        <v>3602</v>
      </c>
      <c r="N486" s="67" t="s">
        <v>3602</v>
      </c>
      <c r="O486" s="67" t="s">
        <v>165</v>
      </c>
      <c r="P486" s="67" t="s">
        <v>3603</v>
      </c>
    </row>
    <row r="487" s="43" customFormat="1" customHeight="1" spans="1:16">
      <c r="A487" s="67" t="s">
        <v>3604</v>
      </c>
      <c r="B487" s="67">
        <v>62.15</v>
      </c>
      <c r="C487" s="67">
        <v>3</v>
      </c>
      <c r="D487" s="67" t="s">
        <v>3605</v>
      </c>
      <c r="E487" s="67" t="s">
        <v>3606</v>
      </c>
      <c r="F487" s="67" t="s">
        <v>12</v>
      </c>
      <c r="G487" s="67" t="s">
        <v>3607</v>
      </c>
      <c r="H487" s="67" t="s">
        <v>3608</v>
      </c>
      <c r="I487" s="67" t="s">
        <v>161</v>
      </c>
      <c r="J487" s="67" t="s">
        <v>161</v>
      </c>
      <c r="K487" s="67" t="s">
        <v>161</v>
      </c>
      <c r="L487" s="67" t="s">
        <v>3609</v>
      </c>
      <c r="M487" s="67" t="s">
        <v>3610</v>
      </c>
      <c r="N487" s="67" t="s">
        <v>3610</v>
      </c>
      <c r="O487" s="67" t="s">
        <v>165</v>
      </c>
      <c r="P487" s="67" t="s">
        <v>3611</v>
      </c>
    </row>
    <row r="488" s="43" customFormat="1" customHeight="1" spans="1:16">
      <c r="A488" s="67" t="s">
        <v>3612</v>
      </c>
      <c r="B488" s="67">
        <v>64.5</v>
      </c>
      <c r="C488" s="67">
        <v>7</v>
      </c>
      <c r="D488" s="67" t="s">
        <v>3613</v>
      </c>
      <c r="E488" s="67" t="s">
        <v>3614</v>
      </c>
      <c r="F488" s="67" t="s">
        <v>12</v>
      </c>
      <c r="G488" s="67" t="s">
        <v>3615</v>
      </c>
      <c r="H488" s="67" t="s">
        <v>3616</v>
      </c>
      <c r="I488" s="67" t="s">
        <v>161</v>
      </c>
      <c r="J488" s="67" t="s">
        <v>161</v>
      </c>
      <c r="K488" s="67" t="s">
        <v>161</v>
      </c>
      <c r="L488" s="67" t="s">
        <v>3617</v>
      </c>
      <c r="M488" s="67" t="s">
        <v>3618</v>
      </c>
      <c r="N488" s="67" t="s">
        <v>3618</v>
      </c>
      <c r="O488" s="67" t="s">
        <v>165</v>
      </c>
      <c r="P488" s="67" t="s">
        <v>3619</v>
      </c>
    </row>
    <row r="489" s="43" customFormat="1" hidden="1" customHeight="1" spans="1:16">
      <c r="A489" s="67" t="s">
        <v>3620</v>
      </c>
      <c r="B489" s="67">
        <v>38.3</v>
      </c>
      <c r="C489" s="67">
        <v>3</v>
      </c>
      <c r="D489" s="67" t="s">
        <v>3621</v>
      </c>
      <c r="E489" s="67" t="s">
        <v>3622</v>
      </c>
      <c r="F489" s="67" t="s">
        <v>12</v>
      </c>
      <c r="G489" s="67" t="s">
        <v>3623</v>
      </c>
      <c r="H489" s="67" t="s">
        <v>3624</v>
      </c>
      <c r="I489" s="67" t="s">
        <v>161</v>
      </c>
      <c r="J489" s="67" t="s">
        <v>161</v>
      </c>
      <c r="K489" s="67" t="s">
        <v>161</v>
      </c>
      <c r="L489" s="67" t="s">
        <v>3625</v>
      </c>
      <c r="M489" s="67" t="s">
        <v>3626</v>
      </c>
      <c r="N489" s="67" t="s">
        <v>3626</v>
      </c>
      <c r="O489" s="67" t="s">
        <v>165</v>
      </c>
      <c r="P489" s="67" t="s">
        <v>3627</v>
      </c>
    </row>
    <row r="490" s="43" customFormat="1" hidden="1" customHeight="1" spans="1:16">
      <c r="A490" s="67" t="s">
        <v>3628</v>
      </c>
      <c r="B490" s="67">
        <v>26.89</v>
      </c>
      <c r="C490" s="67">
        <v>2</v>
      </c>
      <c r="D490" s="67" t="s">
        <v>3629</v>
      </c>
      <c r="E490" s="67" t="s">
        <v>3630</v>
      </c>
      <c r="F490" s="67" t="s">
        <v>12</v>
      </c>
      <c r="G490" s="67" t="s">
        <v>3631</v>
      </c>
      <c r="H490" s="67" t="s">
        <v>3632</v>
      </c>
      <c r="I490" s="67" t="s">
        <v>161</v>
      </c>
      <c r="J490" s="67" t="s">
        <v>161</v>
      </c>
      <c r="K490" s="67" t="s">
        <v>161</v>
      </c>
      <c r="L490" s="67" t="s">
        <v>3633</v>
      </c>
      <c r="M490" s="67" t="s">
        <v>3634</v>
      </c>
      <c r="N490" s="67" t="s">
        <v>3634</v>
      </c>
      <c r="O490" s="67" t="s">
        <v>165</v>
      </c>
      <c r="P490" s="67" t="s">
        <v>3635</v>
      </c>
    </row>
    <row r="491" s="43" customFormat="1" hidden="1" customHeight="1" spans="1:16">
      <c r="A491" s="67" t="s">
        <v>3636</v>
      </c>
      <c r="B491" s="67">
        <v>26.89</v>
      </c>
      <c r="C491" s="67">
        <v>2</v>
      </c>
      <c r="D491" s="67" t="s">
        <v>3637</v>
      </c>
      <c r="E491" s="67" t="s">
        <v>3638</v>
      </c>
      <c r="F491" s="67" t="s">
        <v>12</v>
      </c>
      <c r="G491" s="67" t="s">
        <v>3639</v>
      </c>
      <c r="H491" s="67" t="s">
        <v>3640</v>
      </c>
      <c r="I491" s="67" t="s">
        <v>161</v>
      </c>
      <c r="J491" s="67" t="s">
        <v>161</v>
      </c>
      <c r="K491" s="67" t="s">
        <v>161</v>
      </c>
      <c r="L491" s="67" t="s">
        <v>3641</v>
      </c>
      <c r="M491" s="67" t="s">
        <v>3642</v>
      </c>
      <c r="N491" s="67" t="s">
        <v>3642</v>
      </c>
      <c r="O491" s="67" t="s">
        <v>165</v>
      </c>
      <c r="P491" s="67" t="s">
        <v>3643</v>
      </c>
    </row>
    <row r="492" s="43" customFormat="1" hidden="1" customHeight="1" spans="1:16">
      <c r="A492" s="67" t="s">
        <v>3644</v>
      </c>
      <c r="B492" s="67">
        <v>47.8</v>
      </c>
      <c r="C492" s="67">
        <v>4</v>
      </c>
      <c r="D492" s="67" t="s">
        <v>3645</v>
      </c>
      <c r="E492" s="67" t="s">
        <v>3646</v>
      </c>
      <c r="F492" s="67" t="s">
        <v>12</v>
      </c>
      <c r="G492" s="67" t="s">
        <v>3647</v>
      </c>
      <c r="H492" s="67" t="s">
        <v>3648</v>
      </c>
      <c r="I492" s="67" t="s">
        <v>161</v>
      </c>
      <c r="J492" s="67" t="s">
        <v>161</v>
      </c>
      <c r="K492" s="67" t="s">
        <v>161</v>
      </c>
      <c r="L492" s="67" t="s">
        <v>3649</v>
      </c>
      <c r="M492" s="67" t="s">
        <v>3650</v>
      </c>
      <c r="N492" s="67" t="s">
        <v>3650</v>
      </c>
      <c r="O492" s="67" t="s">
        <v>165</v>
      </c>
      <c r="P492" s="67" t="s">
        <v>3651</v>
      </c>
    </row>
    <row r="493" s="43" customFormat="1" hidden="1" customHeight="1" spans="1:16">
      <c r="A493" s="67" t="s">
        <v>3652</v>
      </c>
      <c r="B493" s="67">
        <v>17.69</v>
      </c>
      <c r="C493" s="67">
        <v>4</v>
      </c>
      <c r="D493" s="67" t="s">
        <v>3653</v>
      </c>
      <c r="E493" s="67" t="s">
        <v>3654</v>
      </c>
      <c r="F493" s="67" t="s">
        <v>12</v>
      </c>
      <c r="G493" s="67" t="s">
        <v>3655</v>
      </c>
      <c r="H493" s="67" t="s">
        <v>3656</v>
      </c>
      <c r="I493" s="67" t="s">
        <v>161</v>
      </c>
      <c r="J493" s="67" t="s">
        <v>161</v>
      </c>
      <c r="K493" s="67" t="s">
        <v>161</v>
      </c>
      <c r="L493" s="67" t="s">
        <v>3657</v>
      </c>
      <c r="M493" s="67" t="s">
        <v>3658</v>
      </c>
      <c r="N493" s="67" t="s">
        <v>3658</v>
      </c>
      <c r="O493" s="67" t="s">
        <v>165</v>
      </c>
      <c r="P493" s="67" t="s">
        <v>3659</v>
      </c>
    </row>
    <row r="494" s="43" customFormat="1" hidden="1" customHeight="1" spans="1:16">
      <c r="A494" s="67" t="s">
        <v>3660</v>
      </c>
      <c r="B494" s="67">
        <v>26.89</v>
      </c>
      <c r="C494" s="67">
        <v>2</v>
      </c>
      <c r="D494" s="67" t="s">
        <v>3629</v>
      </c>
      <c r="E494" s="67" t="s">
        <v>3630</v>
      </c>
      <c r="F494" s="67" t="s">
        <v>12</v>
      </c>
      <c r="G494" s="67" t="s">
        <v>3661</v>
      </c>
      <c r="H494" s="67" t="s">
        <v>3662</v>
      </c>
      <c r="I494" s="67" t="s">
        <v>161</v>
      </c>
      <c r="J494" s="67" t="s">
        <v>161</v>
      </c>
      <c r="K494" s="67" t="s">
        <v>161</v>
      </c>
      <c r="L494" s="67" t="s">
        <v>3663</v>
      </c>
      <c r="M494" s="67" t="s">
        <v>3664</v>
      </c>
      <c r="N494" s="67" t="s">
        <v>3664</v>
      </c>
      <c r="O494" s="67" t="s">
        <v>165</v>
      </c>
      <c r="P494" s="67" t="s">
        <v>3665</v>
      </c>
    </row>
    <row r="495" s="43" customFormat="1" customHeight="1" spans="1:16">
      <c r="A495" s="67" t="s">
        <v>3666</v>
      </c>
      <c r="B495" s="67">
        <v>43.77</v>
      </c>
      <c r="C495" s="67">
        <v>5</v>
      </c>
      <c r="D495" s="67" t="s">
        <v>3667</v>
      </c>
      <c r="E495" s="67" t="s">
        <v>3668</v>
      </c>
      <c r="F495" s="67" t="s">
        <v>98</v>
      </c>
      <c r="G495" s="67" t="s">
        <v>3669</v>
      </c>
      <c r="H495" s="67" t="s">
        <v>3670</v>
      </c>
      <c r="I495" s="67" t="s">
        <v>161</v>
      </c>
      <c r="J495" s="67" t="s">
        <v>161</v>
      </c>
      <c r="K495" s="67" t="s">
        <v>161</v>
      </c>
      <c r="L495" s="67" t="s">
        <v>3671</v>
      </c>
      <c r="M495" s="67" t="s">
        <v>3672</v>
      </c>
      <c r="N495" s="67" t="s">
        <v>3672</v>
      </c>
      <c r="O495" s="67" t="s">
        <v>165</v>
      </c>
      <c r="P495" s="67" t="s">
        <v>3673</v>
      </c>
    </row>
    <row r="496" s="43" customFormat="1" customHeight="1" spans="1:16">
      <c r="A496" s="67" t="s">
        <v>3674</v>
      </c>
      <c r="B496" s="67">
        <v>33.66</v>
      </c>
      <c r="C496" s="67">
        <v>6</v>
      </c>
      <c r="D496" s="67" t="s">
        <v>3675</v>
      </c>
      <c r="E496" s="67" t="s">
        <v>3676</v>
      </c>
      <c r="F496" s="67" t="s">
        <v>90</v>
      </c>
      <c r="G496" s="67" t="s">
        <v>3677</v>
      </c>
      <c r="H496" s="67" t="s">
        <v>3678</v>
      </c>
      <c r="I496" s="67" t="s">
        <v>161</v>
      </c>
      <c r="J496" s="67" t="s">
        <v>161</v>
      </c>
      <c r="K496" s="67" t="s">
        <v>161</v>
      </c>
      <c r="L496" s="67" t="s">
        <v>3679</v>
      </c>
      <c r="M496" s="67" t="s">
        <v>3680</v>
      </c>
      <c r="N496" s="67" t="s">
        <v>3680</v>
      </c>
      <c r="O496" s="67" t="s">
        <v>165</v>
      </c>
      <c r="P496" s="67" t="s">
        <v>3681</v>
      </c>
    </row>
    <row r="497" s="43" customFormat="1" hidden="1" customHeight="1" spans="1:16">
      <c r="A497" s="67" t="s">
        <v>3682</v>
      </c>
      <c r="B497" s="67">
        <v>26.89</v>
      </c>
      <c r="C497" s="67">
        <v>2</v>
      </c>
      <c r="D497" s="67" t="s">
        <v>3683</v>
      </c>
      <c r="E497" s="67" t="s">
        <v>3684</v>
      </c>
      <c r="F497" s="67" t="s">
        <v>12</v>
      </c>
      <c r="G497" s="67" t="s">
        <v>3685</v>
      </c>
      <c r="H497" s="67" t="s">
        <v>3686</v>
      </c>
      <c r="I497" s="67" t="s">
        <v>161</v>
      </c>
      <c r="J497" s="67" t="s">
        <v>161</v>
      </c>
      <c r="K497" s="67" t="s">
        <v>161</v>
      </c>
      <c r="L497" s="67" t="s">
        <v>3687</v>
      </c>
      <c r="M497" s="67" t="s">
        <v>3688</v>
      </c>
      <c r="N497" s="67" t="s">
        <v>3688</v>
      </c>
      <c r="O497" s="67" t="s">
        <v>165</v>
      </c>
      <c r="P497" s="67" t="s">
        <v>3689</v>
      </c>
    </row>
    <row r="498" s="43" customFormat="1" hidden="1" customHeight="1" spans="1:16">
      <c r="A498" s="67" t="s">
        <v>3690</v>
      </c>
      <c r="B498" s="67">
        <v>28.09</v>
      </c>
      <c r="C498" s="67">
        <v>2</v>
      </c>
      <c r="D498" s="67" t="s">
        <v>3262</v>
      </c>
      <c r="E498" s="67" t="s">
        <v>3263</v>
      </c>
      <c r="F498" s="67" t="s">
        <v>12</v>
      </c>
      <c r="G498" s="67" t="s">
        <v>3691</v>
      </c>
      <c r="H498" s="67" t="s">
        <v>3692</v>
      </c>
      <c r="I498" s="67" t="s">
        <v>161</v>
      </c>
      <c r="J498" s="67" t="s">
        <v>161</v>
      </c>
      <c r="K498" s="67" t="s">
        <v>161</v>
      </c>
      <c r="L498" s="67" t="s">
        <v>3693</v>
      </c>
      <c r="M498" s="67" t="s">
        <v>3694</v>
      </c>
      <c r="N498" s="67" t="s">
        <v>3694</v>
      </c>
      <c r="O498" s="67" t="s">
        <v>165</v>
      </c>
      <c r="P498" s="67" t="s">
        <v>3695</v>
      </c>
    </row>
    <row r="499" s="43" customFormat="1" hidden="1" customHeight="1" spans="1:16">
      <c r="A499" s="67" t="s">
        <v>3696</v>
      </c>
      <c r="B499" s="67">
        <v>55.58</v>
      </c>
      <c r="C499" s="67">
        <v>6</v>
      </c>
      <c r="D499" s="67" t="s">
        <v>3697</v>
      </c>
      <c r="E499" s="67" t="s">
        <v>3698</v>
      </c>
      <c r="F499" s="67" t="s">
        <v>12</v>
      </c>
      <c r="G499" s="67" t="s">
        <v>3699</v>
      </c>
      <c r="H499" s="67" t="s">
        <v>3700</v>
      </c>
      <c r="I499" s="67" t="s">
        <v>161</v>
      </c>
      <c r="J499" s="67" t="s">
        <v>161</v>
      </c>
      <c r="K499" s="67" t="s">
        <v>161</v>
      </c>
      <c r="L499" s="67" t="s">
        <v>3701</v>
      </c>
      <c r="M499" s="67" t="s">
        <v>3702</v>
      </c>
      <c r="N499" s="67" t="s">
        <v>3702</v>
      </c>
      <c r="O499" s="67" t="s">
        <v>165</v>
      </c>
      <c r="P499" s="67" t="s">
        <v>3703</v>
      </c>
    </row>
    <row r="500" s="43" customFormat="1" hidden="1" customHeight="1" spans="1:16">
      <c r="A500" s="67" t="s">
        <v>3704</v>
      </c>
      <c r="B500" s="67">
        <v>30.85</v>
      </c>
      <c r="C500" s="67">
        <v>3</v>
      </c>
      <c r="D500" s="67" t="s">
        <v>3597</v>
      </c>
      <c r="E500" s="67" t="s">
        <v>3598</v>
      </c>
      <c r="F500" s="67" t="s">
        <v>12</v>
      </c>
      <c r="G500" s="67" t="s">
        <v>3705</v>
      </c>
      <c r="H500" s="67" t="s">
        <v>3706</v>
      </c>
      <c r="I500" s="67" t="s">
        <v>161</v>
      </c>
      <c r="J500" s="67" t="s">
        <v>161</v>
      </c>
      <c r="K500" s="67" t="s">
        <v>161</v>
      </c>
      <c r="L500" s="67" t="s">
        <v>3707</v>
      </c>
      <c r="M500" s="67" t="s">
        <v>3708</v>
      </c>
      <c r="N500" s="67" t="s">
        <v>3708</v>
      </c>
      <c r="O500" s="67" t="s">
        <v>165</v>
      </c>
      <c r="P500" s="67" t="s">
        <v>3709</v>
      </c>
    </row>
    <row r="501" s="43" customFormat="1" hidden="1" customHeight="1" spans="1:16">
      <c r="A501" s="67" t="s">
        <v>3710</v>
      </c>
      <c r="B501" s="67">
        <v>26.89</v>
      </c>
      <c r="C501" s="67">
        <v>2</v>
      </c>
      <c r="D501" s="67" t="s">
        <v>3262</v>
      </c>
      <c r="E501" s="67" t="s">
        <v>3263</v>
      </c>
      <c r="F501" s="67" t="s">
        <v>12</v>
      </c>
      <c r="G501" s="67" t="s">
        <v>3711</v>
      </c>
      <c r="H501" s="67" t="s">
        <v>3712</v>
      </c>
      <c r="I501" s="67" t="s">
        <v>161</v>
      </c>
      <c r="J501" s="67" t="s">
        <v>161</v>
      </c>
      <c r="K501" s="67" t="s">
        <v>161</v>
      </c>
      <c r="L501" s="67" t="s">
        <v>3713</v>
      </c>
      <c r="M501" s="67" t="s">
        <v>3714</v>
      </c>
      <c r="N501" s="67" t="s">
        <v>3714</v>
      </c>
      <c r="O501" s="67" t="s">
        <v>165</v>
      </c>
      <c r="P501" s="67" t="s">
        <v>3715</v>
      </c>
    </row>
    <row r="502" s="43" customFormat="1" hidden="1" customHeight="1" spans="1:16">
      <c r="A502" s="67" t="s">
        <v>3716</v>
      </c>
      <c r="B502" s="67">
        <v>26.89</v>
      </c>
      <c r="C502" s="67">
        <v>2</v>
      </c>
      <c r="D502" s="67" t="s">
        <v>3262</v>
      </c>
      <c r="E502" s="67" t="s">
        <v>3263</v>
      </c>
      <c r="F502" s="67" t="s">
        <v>12</v>
      </c>
      <c r="G502" s="67" t="s">
        <v>3717</v>
      </c>
      <c r="H502" s="67" t="s">
        <v>3718</v>
      </c>
      <c r="I502" s="67" t="s">
        <v>161</v>
      </c>
      <c r="J502" s="67" t="s">
        <v>161</v>
      </c>
      <c r="K502" s="67" t="s">
        <v>161</v>
      </c>
      <c r="L502" s="67" t="s">
        <v>3719</v>
      </c>
      <c r="M502" s="67" t="s">
        <v>3720</v>
      </c>
      <c r="N502" s="67" t="s">
        <v>3720</v>
      </c>
      <c r="O502" s="67" t="s">
        <v>165</v>
      </c>
      <c r="P502" s="67" t="s">
        <v>3721</v>
      </c>
    </row>
    <row r="503" s="43" customFormat="1" hidden="1" customHeight="1" spans="1:16">
      <c r="A503" s="67" t="s">
        <v>3722</v>
      </c>
      <c r="B503" s="67">
        <v>26.89</v>
      </c>
      <c r="C503" s="67">
        <v>2</v>
      </c>
      <c r="D503" s="67" t="s">
        <v>3629</v>
      </c>
      <c r="E503" s="67" t="s">
        <v>3630</v>
      </c>
      <c r="F503" s="67" t="s">
        <v>12</v>
      </c>
      <c r="G503" s="67" t="s">
        <v>3551</v>
      </c>
      <c r="H503" s="67" t="s">
        <v>3723</v>
      </c>
      <c r="I503" s="67" t="s">
        <v>161</v>
      </c>
      <c r="J503" s="67" t="s">
        <v>161</v>
      </c>
      <c r="K503" s="67" t="s">
        <v>161</v>
      </c>
      <c r="L503" s="67" t="s">
        <v>3724</v>
      </c>
      <c r="M503" s="67" t="s">
        <v>3725</v>
      </c>
      <c r="N503" s="67" t="s">
        <v>3725</v>
      </c>
      <c r="O503" s="67" t="s">
        <v>165</v>
      </c>
      <c r="P503" s="67" t="s">
        <v>3726</v>
      </c>
    </row>
    <row r="504" s="43" customFormat="1" hidden="1" customHeight="1" spans="1:16">
      <c r="A504" s="67" t="s">
        <v>3727</v>
      </c>
      <c r="B504" s="67">
        <v>26.89</v>
      </c>
      <c r="C504" s="67">
        <v>2</v>
      </c>
      <c r="D504" s="67" t="s">
        <v>3728</v>
      </c>
      <c r="E504" s="67" t="s">
        <v>3729</v>
      </c>
      <c r="F504" s="67" t="s">
        <v>12</v>
      </c>
      <c r="G504" s="67" t="s">
        <v>3730</v>
      </c>
      <c r="H504" s="67" t="s">
        <v>3731</v>
      </c>
      <c r="I504" s="67" t="s">
        <v>161</v>
      </c>
      <c r="J504" s="67" t="s">
        <v>161</v>
      </c>
      <c r="K504" s="67" t="s">
        <v>161</v>
      </c>
      <c r="L504" s="67" t="s">
        <v>3732</v>
      </c>
      <c r="M504" s="67" t="s">
        <v>3733</v>
      </c>
      <c r="N504" s="67" t="s">
        <v>3733</v>
      </c>
      <c r="O504" s="67" t="s">
        <v>165</v>
      </c>
      <c r="P504" s="67" t="s">
        <v>3734</v>
      </c>
    </row>
    <row r="505" s="43" customFormat="1" customHeight="1" spans="1:16">
      <c r="A505" s="67" t="s">
        <v>3735</v>
      </c>
      <c r="B505" s="67">
        <v>30.8</v>
      </c>
      <c r="C505" s="67">
        <v>3</v>
      </c>
      <c r="D505" s="67" t="s">
        <v>3589</v>
      </c>
      <c r="E505" s="67" t="s">
        <v>3590</v>
      </c>
      <c r="F505" s="67" t="s">
        <v>12</v>
      </c>
      <c r="G505" s="67" t="s">
        <v>3736</v>
      </c>
      <c r="H505" s="67" t="s">
        <v>3737</v>
      </c>
      <c r="I505" s="67" t="s">
        <v>161</v>
      </c>
      <c r="J505" s="67" t="s">
        <v>161</v>
      </c>
      <c r="K505" s="67" t="s">
        <v>161</v>
      </c>
      <c r="L505" s="67" t="s">
        <v>3738</v>
      </c>
      <c r="M505" s="67" t="s">
        <v>3739</v>
      </c>
      <c r="N505" s="67" t="s">
        <v>3739</v>
      </c>
      <c r="O505" s="67" t="s">
        <v>165</v>
      </c>
      <c r="P505" s="67" t="s">
        <v>3740</v>
      </c>
    </row>
    <row r="506" s="43" customFormat="1" customHeight="1" spans="1:16">
      <c r="A506" s="67" t="s">
        <v>3741</v>
      </c>
      <c r="B506" s="67">
        <v>28.93</v>
      </c>
      <c r="C506" s="67">
        <v>2</v>
      </c>
      <c r="D506" s="67" t="s">
        <v>3742</v>
      </c>
      <c r="E506" s="67" t="s">
        <v>3729</v>
      </c>
      <c r="F506" s="67" t="s">
        <v>98</v>
      </c>
      <c r="G506" s="67" t="s">
        <v>3743</v>
      </c>
      <c r="H506" s="67" t="s">
        <v>3744</v>
      </c>
      <c r="I506" s="67" t="s">
        <v>161</v>
      </c>
      <c r="J506" s="67" t="s">
        <v>161</v>
      </c>
      <c r="K506" s="67" t="s">
        <v>161</v>
      </c>
      <c r="L506" s="67" t="s">
        <v>3745</v>
      </c>
      <c r="M506" s="67" t="s">
        <v>3746</v>
      </c>
      <c r="N506" s="67" t="s">
        <v>3746</v>
      </c>
      <c r="O506" s="67" t="s">
        <v>165</v>
      </c>
      <c r="P506" s="67" t="s">
        <v>3747</v>
      </c>
    </row>
    <row r="507" s="43" customFormat="1" hidden="1" customHeight="1" spans="1:16">
      <c r="A507" s="67" t="s">
        <v>3748</v>
      </c>
      <c r="B507" s="67">
        <v>47.8</v>
      </c>
      <c r="C507" s="67">
        <v>4</v>
      </c>
      <c r="D507" s="67" t="s">
        <v>3749</v>
      </c>
      <c r="E507" s="67" t="s">
        <v>3750</v>
      </c>
      <c r="F507" s="67" t="s">
        <v>12</v>
      </c>
      <c r="G507" s="67" t="s">
        <v>3751</v>
      </c>
      <c r="H507" s="67" t="s">
        <v>3752</v>
      </c>
      <c r="I507" s="67" t="s">
        <v>161</v>
      </c>
      <c r="J507" s="67" t="s">
        <v>161</v>
      </c>
      <c r="K507" s="67" t="s">
        <v>161</v>
      </c>
      <c r="L507" s="67" t="s">
        <v>3753</v>
      </c>
      <c r="M507" s="67" t="s">
        <v>3754</v>
      </c>
      <c r="N507" s="67" t="s">
        <v>3754</v>
      </c>
      <c r="O507" s="67" t="s">
        <v>165</v>
      </c>
      <c r="P507" s="67" t="s">
        <v>3755</v>
      </c>
    </row>
    <row r="508" s="43" customFormat="1" hidden="1" customHeight="1" spans="1:16">
      <c r="A508" s="67" t="s">
        <v>3756</v>
      </c>
      <c r="B508" s="67">
        <v>62.55</v>
      </c>
      <c r="C508" s="67">
        <v>7</v>
      </c>
      <c r="D508" s="67" t="s">
        <v>3757</v>
      </c>
      <c r="E508" s="67" t="s">
        <v>3758</v>
      </c>
      <c r="F508" s="67" t="s">
        <v>12</v>
      </c>
      <c r="G508" s="67" t="s">
        <v>3759</v>
      </c>
      <c r="H508" s="67" t="s">
        <v>3760</v>
      </c>
      <c r="I508" s="67" t="s">
        <v>161</v>
      </c>
      <c r="J508" s="67" t="s">
        <v>161</v>
      </c>
      <c r="K508" s="67" t="s">
        <v>161</v>
      </c>
      <c r="L508" s="67" t="s">
        <v>3761</v>
      </c>
      <c r="M508" s="67" t="s">
        <v>3762</v>
      </c>
      <c r="N508" s="67" t="s">
        <v>3762</v>
      </c>
      <c r="O508" s="67" t="s">
        <v>165</v>
      </c>
      <c r="P508" s="67" t="s">
        <v>3763</v>
      </c>
    </row>
    <row r="509" s="43" customFormat="1" hidden="1" customHeight="1" spans="1:16">
      <c r="A509" s="67" t="s">
        <v>3764</v>
      </c>
      <c r="B509" s="67">
        <v>47.8</v>
      </c>
      <c r="C509" s="67">
        <v>4</v>
      </c>
      <c r="D509" s="67" t="s">
        <v>3765</v>
      </c>
      <c r="E509" s="67" t="s">
        <v>3766</v>
      </c>
      <c r="F509" s="67" t="s">
        <v>12</v>
      </c>
      <c r="G509" s="67" t="s">
        <v>3767</v>
      </c>
      <c r="H509" s="67" t="s">
        <v>3768</v>
      </c>
      <c r="I509" s="67" t="s">
        <v>161</v>
      </c>
      <c r="J509" s="67" t="s">
        <v>161</v>
      </c>
      <c r="K509" s="67" t="s">
        <v>161</v>
      </c>
      <c r="L509" s="67" t="s">
        <v>3769</v>
      </c>
      <c r="M509" s="67" t="s">
        <v>3770</v>
      </c>
      <c r="N509" s="67" t="s">
        <v>3770</v>
      </c>
      <c r="O509" s="67" t="s">
        <v>165</v>
      </c>
      <c r="P509" s="67" t="s">
        <v>3771</v>
      </c>
    </row>
    <row r="510" s="43" customFormat="1" hidden="1" customHeight="1" spans="1:16">
      <c r="A510" s="67" t="s">
        <v>3772</v>
      </c>
      <c r="B510" s="67">
        <v>30.85</v>
      </c>
      <c r="C510" s="67">
        <v>3</v>
      </c>
      <c r="D510" s="67" t="s">
        <v>3368</v>
      </c>
      <c r="E510" s="67" t="s">
        <v>3369</v>
      </c>
      <c r="F510" s="67" t="s">
        <v>12</v>
      </c>
      <c r="G510" s="67" t="s">
        <v>3773</v>
      </c>
      <c r="H510" s="67" t="s">
        <v>3774</v>
      </c>
      <c r="I510" s="67" t="s">
        <v>161</v>
      </c>
      <c r="J510" s="67" t="s">
        <v>161</v>
      </c>
      <c r="K510" s="67" t="s">
        <v>161</v>
      </c>
      <c r="L510" s="67" t="s">
        <v>3775</v>
      </c>
      <c r="M510" s="67" t="s">
        <v>3776</v>
      </c>
      <c r="N510" s="67" t="s">
        <v>3776</v>
      </c>
      <c r="O510" s="67" t="s">
        <v>165</v>
      </c>
      <c r="P510" s="67" t="s">
        <v>3777</v>
      </c>
    </row>
    <row r="511" s="43" customFormat="1" hidden="1" customHeight="1" spans="1:16">
      <c r="A511" s="67" t="s">
        <v>3778</v>
      </c>
      <c r="B511" s="67">
        <v>33.7</v>
      </c>
      <c r="C511" s="67">
        <v>4</v>
      </c>
      <c r="D511" s="67" t="s">
        <v>3779</v>
      </c>
      <c r="E511" s="67" t="s">
        <v>3780</v>
      </c>
      <c r="F511" s="67" t="s">
        <v>12</v>
      </c>
      <c r="G511" s="67" t="s">
        <v>3781</v>
      </c>
      <c r="H511" s="67" t="s">
        <v>3782</v>
      </c>
      <c r="I511" s="67" t="s">
        <v>161</v>
      </c>
      <c r="J511" s="67" t="s">
        <v>161</v>
      </c>
      <c r="K511" s="67" t="s">
        <v>161</v>
      </c>
      <c r="L511" s="67" t="s">
        <v>3783</v>
      </c>
      <c r="M511" s="67" t="s">
        <v>3784</v>
      </c>
      <c r="N511" s="67" t="s">
        <v>3784</v>
      </c>
      <c r="O511" s="67" t="s">
        <v>165</v>
      </c>
      <c r="P511" s="67" t="s">
        <v>3785</v>
      </c>
    </row>
    <row r="512" s="43" customFormat="1" hidden="1" customHeight="1" spans="1:16">
      <c r="A512" s="67" t="s">
        <v>3786</v>
      </c>
      <c r="B512" s="67">
        <v>53.7</v>
      </c>
      <c r="C512" s="67">
        <v>5</v>
      </c>
      <c r="D512" s="67" t="s">
        <v>3787</v>
      </c>
      <c r="E512" s="67" t="s">
        <v>3788</v>
      </c>
      <c r="F512" s="67" t="s">
        <v>12</v>
      </c>
      <c r="G512" s="67" t="s">
        <v>3789</v>
      </c>
      <c r="H512" s="67" t="s">
        <v>3790</v>
      </c>
      <c r="I512" s="67" t="s">
        <v>161</v>
      </c>
      <c r="J512" s="67" t="s">
        <v>161</v>
      </c>
      <c r="K512" s="67" t="s">
        <v>161</v>
      </c>
      <c r="L512" s="67" t="s">
        <v>3791</v>
      </c>
      <c r="M512" s="67" t="s">
        <v>3792</v>
      </c>
      <c r="N512" s="67" t="s">
        <v>3792</v>
      </c>
      <c r="O512" s="67" t="s">
        <v>165</v>
      </c>
      <c r="P512" s="67" t="s">
        <v>3793</v>
      </c>
    </row>
    <row r="513" s="43" customFormat="1" customHeight="1" spans="1:16">
      <c r="A513" s="67" t="s">
        <v>3794</v>
      </c>
      <c r="B513" s="67">
        <v>32.42</v>
      </c>
      <c r="C513" s="67">
        <v>3</v>
      </c>
      <c r="D513" s="67" t="s">
        <v>3795</v>
      </c>
      <c r="E513" s="67" t="s">
        <v>3796</v>
      </c>
      <c r="F513" s="67" t="s">
        <v>90</v>
      </c>
      <c r="G513" s="67" t="s">
        <v>3797</v>
      </c>
      <c r="H513" s="67" t="s">
        <v>3798</v>
      </c>
      <c r="I513" s="67" t="s">
        <v>161</v>
      </c>
      <c r="J513" s="67" t="s">
        <v>161</v>
      </c>
      <c r="K513" s="67" t="s">
        <v>161</v>
      </c>
      <c r="L513" s="67" t="s">
        <v>3799</v>
      </c>
      <c r="M513" s="67" t="s">
        <v>3800</v>
      </c>
      <c r="N513" s="67" t="s">
        <v>3800</v>
      </c>
      <c r="O513" s="67" t="s">
        <v>165</v>
      </c>
      <c r="P513" s="67" t="s">
        <v>3801</v>
      </c>
    </row>
    <row r="514" s="43" customFormat="1" customHeight="1" spans="1:16">
      <c r="A514" s="67" t="s">
        <v>3802</v>
      </c>
      <c r="B514" s="67">
        <v>52.7</v>
      </c>
      <c r="C514" s="67">
        <v>5</v>
      </c>
      <c r="D514" s="67" t="s">
        <v>3803</v>
      </c>
      <c r="E514" s="67" t="s">
        <v>3804</v>
      </c>
      <c r="F514" s="67" t="s">
        <v>78</v>
      </c>
      <c r="G514" s="67" t="s">
        <v>3805</v>
      </c>
      <c r="H514" s="67" t="s">
        <v>3806</v>
      </c>
      <c r="I514" s="67" t="s">
        <v>161</v>
      </c>
      <c r="J514" s="67" t="s">
        <v>161</v>
      </c>
      <c r="K514" s="67" t="s">
        <v>161</v>
      </c>
      <c r="L514" s="67" t="s">
        <v>3807</v>
      </c>
      <c r="M514" s="67" t="s">
        <v>3808</v>
      </c>
      <c r="N514" s="67" t="s">
        <v>3808</v>
      </c>
      <c r="O514" s="67" t="s">
        <v>165</v>
      </c>
      <c r="P514" s="67" t="s">
        <v>3809</v>
      </c>
    </row>
    <row r="515" s="43" customFormat="1" customHeight="1" spans="1:16">
      <c r="A515" s="67" t="s">
        <v>3810</v>
      </c>
      <c r="B515" s="67">
        <v>73.95</v>
      </c>
      <c r="C515" s="67">
        <v>8</v>
      </c>
      <c r="D515" s="67" t="s">
        <v>3811</v>
      </c>
      <c r="E515" s="67" t="s">
        <v>3812</v>
      </c>
      <c r="F515" s="67" t="s">
        <v>12</v>
      </c>
      <c r="G515" s="67" t="s">
        <v>3813</v>
      </c>
      <c r="H515" s="67" t="s">
        <v>3814</v>
      </c>
      <c r="I515" s="67" t="s">
        <v>161</v>
      </c>
      <c r="J515" s="67" t="s">
        <v>161</v>
      </c>
      <c r="K515" s="67" t="s">
        <v>161</v>
      </c>
      <c r="L515" s="67" t="s">
        <v>3815</v>
      </c>
      <c r="M515" s="67" t="s">
        <v>3816</v>
      </c>
      <c r="N515" s="67" t="s">
        <v>3816</v>
      </c>
      <c r="O515" s="67" t="s">
        <v>165</v>
      </c>
      <c r="P515" s="67" t="s">
        <v>3817</v>
      </c>
    </row>
    <row r="516" s="43" customFormat="1" customHeight="1" spans="1:16">
      <c r="A516" s="67" t="s">
        <v>3818</v>
      </c>
      <c r="B516" s="67">
        <v>66.55</v>
      </c>
      <c r="C516" s="67">
        <v>7</v>
      </c>
      <c r="D516" s="67" t="s">
        <v>3819</v>
      </c>
      <c r="E516" s="67" t="s">
        <v>3820</v>
      </c>
      <c r="F516" s="67" t="s">
        <v>78</v>
      </c>
      <c r="G516" s="67" t="s">
        <v>3821</v>
      </c>
      <c r="H516" s="67" t="s">
        <v>3822</v>
      </c>
      <c r="I516" s="67" t="s">
        <v>161</v>
      </c>
      <c r="J516" s="67" t="s">
        <v>161</v>
      </c>
      <c r="K516" s="67" t="s">
        <v>161</v>
      </c>
      <c r="L516" s="67" t="s">
        <v>3823</v>
      </c>
      <c r="M516" s="67" t="s">
        <v>3824</v>
      </c>
      <c r="N516" s="67" t="s">
        <v>3824</v>
      </c>
      <c r="O516" s="67" t="s">
        <v>165</v>
      </c>
      <c r="P516" s="67" t="s">
        <v>3825</v>
      </c>
    </row>
    <row r="517" s="43" customFormat="1" hidden="1" customHeight="1" spans="1:16">
      <c r="A517" s="67" t="s">
        <v>3826</v>
      </c>
      <c r="B517" s="67">
        <v>31.79</v>
      </c>
      <c r="C517" s="67">
        <v>3</v>
      </c>
      <c r="D517" s="67" t="s">
        <v>3827</v>
      </c>
      <c r="E517" s="67" t="s">
        <v>3828</v>
      </c>
      <c r="F517" s="67" t="s">
        <v>12</v>
      </c>
      <c r="G517" s="67" t="s">
        <v>3829</v>
      </c>
      <c r="H517" s="67" t="s">
        <v>3830</v>
      </c>
      <c r="I517" s="67" t="s">
        <v>161</v>
      </c>
      <c r="J517" s="67" t="s">
        <v>161</v>
      </c>
      <c r="K517" s="67" t="s">
        <v>161</v>
      </c>
      <c r="L517" s="67" t="s">
        <v>3831</v>
      </c>
      <c r="M517" s="67" t="s">
        <v>3832</v>
      </c>
      <c r="N517" s="67" t="s">
        <v>3832</v>
      </c>
      <c r="O517" s="67" t="s">
        <v>165</v>
      </c>
      <c r="P517" s="67" t="s">
        <v>3833</v>
      </c>
    </row>
    <row r="518" s="43" customFormat="1" hidden="1" customHeight="1" spans="1:16">
      <c r="A518" s="67" t="s">
        <v>3834</v>
      </c>
      <c r="B518" s="67">
        <v>26.89</v>
      </c>
      <c r="C518" s="67">
        <v>2</v>
      </c>
      <c r="D518" s="67" t="s">
        <v>3262</v>
      </c>
      <c r="E518" s="67" t="s">
        <v>3263</v>
      </c>
      <c r="F518" s="67" t="s">
        <v>12</v>
      </c>
      <c r="G518" s="67" t="s">
        <v>3835</v>
      </c>
      <c r="H518" s="67" t="s">
        <v>3836</v>
      </c>
      <c r="I518" s="67" t="s">
        <v>161</v>
      </c>
      <c r="J518" s="67" t="s">
        <v>161</v>
      </c>
      <c r="K518" s="67" t="s">
        <v>161</v>
      </c>
      <c r="L518" s="67" t="s">
        <v>3837</v>
      </c>
      <c r="M518" s="67" t="s">
        <v>3838</v>
      </c>
      <c r="N518" s="67" t="s">
        <v>3838</v>
      </c>
      <c r="O518" s="67" t="s">
        <v>165</v>
      </c>
      <c r="P518" s="67" t="s">
        <v>3839</v>
      </c>
    </row>
    <row r="519" s="43" customFormat="1" hidden="1" customHeight="1" spans="1:16">
      <c r="A519" s="67" t="s">
        <v>3840</v>
      </c>
      <c r="B519" s="67">
        <v>59.65</v>
      </c>
      <c r="C519" s="67">
        <v>6</v>
      </c>
      <c r="D519" s="67" t="s">
        <v>3841</v>
      </c>
      <c r="E519" s="67" t="s">
        <v>3842</v>
      </c>
      <c r="F519" s="67" t="s">
        <v>12</v>
      </c>
      <c r="G519" s="67" t="s">
        <v>3843</v>
      </c>
      <c r="H519" s="67" t="s">
        <v>3844</v>
      </c>
      <c r="I519" s="67" t="s">
        <v>161</v>
      </c>
      <c r="J519" s="67" t="s">
        <v>161</v>
      </c>
      <c r="K519" s="67" t="s">
        <v>161</v>
      </c>
      <c r="L519" s="67" t="s">
        <v>3845</v>
      </c>
      <c r="M519" s="67" t="s">
        <v>3846</v>
      </c>
      <c r="N519" s="67" t="s">
        <v>3846</v>
      </c>
      <c r="O519" s="67" t="s">
        <v>165</v>
      </c>
      <c r="P519" s="67" t="s">
        <v>3847</v>
      </c>
    </row>
    <row r="520" s="43" customFormat="1" hidden="1" customHeight="1" spans="1:16">
      <c r="A520" s="67" t="s">
        <v>3848</v>
      </c>
      <c r="B520" s="67">
        <v>30.85</v>
      </c>
      <c r="C520" s="67">
        <v>3</v>
      </c>
      <c r="D520" s="67" t="s">
        <v>3368</v>
      </c>
      <c r="E520" s="67" t="s">
        <v>3369</v>
      </c>
      <c r="F520" s="67" t="s">
        <v>12</v>
      </c>
      <c r="G520" s="67" t="s">
        <v>3849</v>
      </c>
      <c r="H520" s="67" t="s">
        <v>3850</v>
      </c>
      <c r="I520" s="67" t="s">
        <v>161</v>
      </c>
      <c r="J520" s="67" t="s">
        <v>161</v>
      </c>
      <c r="K520" s="67" t="s">
        <v>161</v>
      </c>
      <c r="L520" s="67" t="s">
        <v>3851</v>
      </c>
      <c r="M520" s="67" t="s">
        <v>3852</v>
      </c>
      <c r="N520" s="67" t="s">
        <v>3852</v>
      </c>
      <c r="O520" s="67" t="s">
        <v>165</v>
      </c>
      <c r="P520" s="67" t="s">
        <v>3853</v>
      </c>
    </row>
    <row r="521" s="43" customFormat="1" hidden="1" customHeight="1" spans="1:16">
      <c r="A521" s="67" t="s">
        <v>3854</v>
      </c>
      <c r="B521" s="67">
        <v>30.85</v>
      </c>
      <c r="C521" s="67">
        <v>3</v>
      </c>
      <c r="D521" s="67" t="s">
        <v>3368</v>
      </c>
      <c r="E521" s="67" t="s">
        <v>3369</v>
      </c>
      <c r="F521" s="67" t="s">
        <v>12</v>
      </c>
      <c r="G521" s="67" t="s">
        <v>3855</v>
      </c>
      <c r="H521" s="67" t="s">
        <v>3856</v>
      </c>
      <c r="I521" s="67" t="s">
        <v>161</v>
      </c>
      <c r="J521" s="67" t="s">
        <v>161</v>
      </c>
      <c r="K521" s="67" t="s">
        <v>161</v>
      </c>
      <c r="L521" s="67" t="s">
        <v>3857</v>
      </c>
      <c r="M521" s="67" t="s">
        <v>3858</v>
      </c>
      <c r="N521" s="67" t="s">
        <v>3858</v>
      </c>
      <c r="O521" s="67" t="s">
        <v>165</v>
      </c>
      <c r="P521" s="67" t="s">
        <v>3859</v>
      </c>
    </row>
    <row r="522" s="43" customFormat="1" hidden="1" customHeight="1" spans="1:16">
      <c r="A522" s="67" t="s">
        <v>3860</v>
      </c>
      <c r="B522" s="67">
        <v>50.07</v>
      </c>
      <c r="C522" s="67">
        <v>5</v>
      </c>
      <c r="D522" s="67" t="s">
        <v>3861</v>
      </c>
      <c r="E522" s="67" t="s">
        <v>3862</v>
      </c>
      <c r="F522" s="67" t="s">
        <v>12</v>
      </c>
      <c r="G522" s="67" t="s">
        <v>3863</v>
      </c>
      <c r="H522" s="67" t="s">
        <v>3864</v>
      </c>
      <c r="I522" s="67" t="s">
        <v>161</v>
      </c>
      <c r="J522" s="67" t="s">
        <v>161</v>
      </c>
      <c r="K522" s="67" t="s">
        <v>161</v>
      </c>
      <c r="L522" s="67" t="s">
        <v>3865</v>
      </c>
      <c r="M522" s="67" t="s">
        <v>3866</v>
      </c>
      <c r="N522" s="67" t="s">
        <v>3866</v>
      </c>
      <c r="O522" s="67" t="s">
        <v>165</v>
      </c>
      <c r="P522" s="67" t="s">
        <v>3867</v>
      </c>
    </row>
    <row r="523" s="43" customFormat="1" hidden="1" customHeight="1" spans="1:16">
      <c r="A523" s="67" t="s">
        <v>3868</v>
      </c>
      <c r="B523" s="67">
        <v>35.75</v>
      </c>
      <c r="C523" s="67">
        <v>4</v>
      </c>
      <c r="D523" s="67" t="s">
        <v>3869</v>
      </c>
      <c r="E523" s="67" t="s">
        <v>3870</v>
      </c>
      <c r="F523" s="67" t="s">
        <v>12</v>
      </c>
      <c r="G523" s="67" t="s">
        <v>3871</v>
      </c>
      <c r="H523" s="67" t="s">
        <v>3872</v>
      </c>
      <c r="I523" s="67" t="s">
        <v>161</v>
      </c>
      <c r="J523" s="67" t="s">
        <v>161</v>
      </c>
      <c r="K523" s="67" t="s">
        <v>161</v>
      </c>
      <c r="L523" s="67" t="s">
        <v>3873</v>
      </c>
      <c r="M523" s="67" t="s">
        <v>3874</v>
      </c>
      <c r="N523" s="67" t="s">
        <v>3874</v>
      </c>
      <c r="O523" s="67" t="s">
        <v>165</v>
      </c>
      <c r="P523" s="67" t="s">
        <v>3875</v>
      </c>
    </row>
    <row r="524" s="43" customFormat="1" hidden="1" customHeight="1" spans="1:16">
      <c r="A524" s="67" t="s">
        <v>3876</v>
      </c>
      <c r="B524" s="67">
        <v>35.97</v>
      </c>
      <c r="C524" s="67">
        <v>4</v>
      </c>
      <c r="D524" s="67" t="s">
        <v>3877</v>
      </c>
      <c r="E524" s="67" t="s">
        <v>3878</v>
      </c>
      <c r="F524" s="67" t="s">
        <v>12</v>
      </c>
      <c r="G524" s="67" t="s">
        <v>3879</v>
      </c>
      <c r="H524" s="67" t="s">
        <v>3880</v>
      </c>
      <c r="I524" s="67" t="s">
        <v>161</v>
      </c>
      <c r="J524" s="67" t="s">
        <v>161</v>
      </c>
      <c r="K524" s="67" t="s">
        <v>161</v>
      </c>
      <c r="L524" s="67" t="s">
        <v>3881</v>
      </c>
      <c r="M524" s="67" t="s">
        <v>3882</v>
      </c>
      <c r="N524" s="67" t="s">
        <v>3882</v>
      </c>
      <c r="O524" s="67" t="s">
        <v>165</v>
      </c>
      <c r="P524" s="67" t="s">
        <v>3883</v>
      </c>
    </row>
    <row r="525" s="43" customFormat="1" hidden="1" customHeight="1" spans="1:16">
      <c r="A525" s="67" t="s">
        <v>3884</v>
      </c>
      <c r="B525" s="67">
        <v>30.85</v>
      </c>
      <c r="C525" s="67">
        <v>3</v>
      </c>
      <c r="D525" s="67" t="s">
        <v>3368</v>
      </c>
      <c r="E525" s="67" t="s">
        <v>3369</v>
      </c>
      <c r="F525" s="67" t="s">
        <v>12</v>
      </c>
      <c r="G525" s="67" t="s">
        <v>3885</v>
      </c>
      <c r="H525" s="67" t="s">
        <v>3886</v>
      </c>
      <c r="I525" s="67" t="s">
        <v>161</v>
      </c>
      <c r="J525" s="67" t="s">
        <v>161</v>
      </c>
      <c r="K525" s="67" t="s">
        <v>161</v>
      </c>
      <c r="L525" s="67" t="s">
        <v>3887</v>
      </c>
      <c r="M525" s="67" t="s">
        <v>3888</v>
      </c>
      <c r="N525" s="67" t="s">
        <v>3888</v>
      </c>
      <c r="O525" s="67" t="s">
        <v>165</v>
      </c>
      <c r="P525" s="67" t="s">
        <v>3889</v>
      </c>
    </row>
    <row r="526" s="43" customFormat="1" hidden="1" customHeight="1" spans="1:16">
      <c r="A526" s="67" t="s">
        <v>3890</v>
      </c>
      <c r="B526" s="67">
        <v>26.89</v>
      </c>
      <c r="C526" s="67">
        <v>2</v>
      </c>
      <c r="D526" s="67" t="s">
        <v>3262</v>
      </c>
      <c r="E526" s="67" t="s">
        <v>3263</v>
      </c>
      <c r="F526" s="67" t="s">
        <v>12</v>
      </c>
      <c r="G526" s="67" t="s">
        <v>3891</v>
      </c>
      <c r="H526" s="67" t="s">
        <v>3892</v>
      </c>
      <c r="I526" s="67" t="s">
        <v>161</v>
      </c>
      <c r="J526" s="67" t="s">
        <v>161</v>
      </c>
      <c r="K526" s="67" t="s">
        <v>161</v>
      </c>
      <c r="L526" s="67" t="s">
        <v>3893</v>
      </c>
      <c r="M526" s="67" t="s">
        <v>3894</v>
      </c>
      <c r="N526" s="67" t="s">
        <v>3894</v>
      </c>
      <c r="O526" s="67" t="s">
        <v>165</v>
      </c>
      <c r="P526" s="67" t="s">
        <v>3895</v>
      </c>
    </row>
    <row r="527" s="43" customFormat="1" customHeight="1" spans="1:16">
      <c r="A527" s="67" t="s">
        <v>3896</v>
      </c>
      <c r="B527" s="67">
        <v>30.8</v>
      </c>
      <c r="C527" s="67">
        <v>3</v>
      </c>
      <c r="D527" s="67" t="s">
        <v>3589</v>
      </c>
      <c r="E527" s="67" t="s">
        <v>3897</v>
      </c>
      <c r="F527" s="67" t="s">
        <v>12</v>
      </c>
      <c r="G527" s="67" t="s">
        <v>3898</v>
      </c>
      <c r="H527" s="67" t="s">
        <v>3899</v>
      </c>
      <c r="I527" s="67" t="s">
        <v>161</v>
      </c>
      <c r="J527" s="67" t="s">
        <v>161</v>
      </c>
      <c r="K527" s="67" t="s">
        <v>161</v>
      </c>
      <c r="L527" s="67" t="s">
        <v>3900</v>
      </c>
      <c r="M527" s="67" t="s">
        <v>3901</v>
      </c>
      <c r="N527" s="67" t="s">
        <v>3901</v>
      </c>
      <c r="O527" s="67" t="s">
        <v>165</v>
      </c>
      <c r="P527" s="67" t="s">
        <v>3902</v>
      </c>
    </row>
    <row r="528" s="43" customFormat="1" customHeight="1" spans="1:16">
      <c r="A528" s="67" t="s">
        <v>3903</v>
      </c>
      <c r="B528" s="67">
        <v>42.65</v>
      </c>
      <c r="C528" s="67">
        <v>5</v>
      </c>
      <c r="D528" s="67" t="s">
        <v>3904</v>
      </c>
      <c r="E528" s="67" t="s">
        <v>3905</v>
      </c>
      <c r="F528" s="67" t="s">
        <v>12</v>
      </c>
      <c r="G528" s="67" t="s">
        <v>3906</v>
      </c>
      <c r="H528" s="67" t="s">
        <v>3907</v>
      </c>
      <c r="I528" s="67" t="s">
        <v>161</v>
      </c>
      <c r="J528" s="67" t="s">
        <v>161</v>
      </c>
      <c r="K528" s="67" t="s">
        <v>161</v>
      </c>
      <c r="L528" s="67" t="s">
        <v>3908</v>
      </c>
      <c r="M528" s="67" t="s">
        <v>3909</v>
      </c>
      <c r="N528" s="67" t="s">
        <v>3909</v>
      </c>
      <c r="O528" s="67" t="s">
        <v>165</v>
      </c>
      <c r="P528" s="67" t="s">
        <v>3910</v>
      </c>
    </row>
    <row r="529" s="43" customFormat="1" hidden="1" customHeight="1" spans="1:16">
      <c r="A529" s="67" t="s">
        <v>3911</v>
      </c>
      <c r="B529" s="67">
        <v>52.7</v>
      </c>
      <c r="C529" s="67">
        <v>5</v>
      </c>
      <c r="D529" s="67" t="s">
        <v>3912</v>
      </c>
      <c r="E529" s="67" t="s">
        <v>3913</v>
      </c>
      <c r="F529" s="67" t="s">
        <v>12</v>
      </c>
      <c r="G529" s="67" t="s">
        <v>3914</v>
      </c>
      <c r="H529" s="67" t="s">
        <v>3915</v>
      </c>
      <c r="I529" s="67" t="s">
        <v>161</v>
      </c>
      <c r="J529" s="67" t="s">
        <v>161</v>
      </c>
      <c r="K529" s="67" t="s">
        <v>161</v>
      </c>
      <c r="L529" s="67" t="s">
        <v>3916</v>
      </c>
      <c r="M529" s="67" t="s">
        <v>3917</v>
      </c>
      <c r="N529" s="67" t="s">
        <v>3917</v>
      </c>
      <c r="O529" s="67" t="s">
        <v>165</v>
      </c>
      <c r="P529" s="67" t="s">
        <v>3918</v>
      </c>
    </row>
    <row r="530" s="43" customFormat="1" hidden="1" customHeight="1" spans="1:16">
      <c r="A530" s="67" t="s">
        <v>3919</v>
      </c>
      <c r="B530" s="67">
        <v>47.8</v>
      </c>
      <c r="C530" s="67">
        <v>4</v>
      </c>
      <c r="D530" s="67" t="s">
        <v>3920</v>
      </c>
      <c r="E530" s="67" t="s">
        <v>3921</v>
      </c>
      <c r="F530" s="67" t="s">
        <v>12</v>
      </c>
      <c r="G530" s="67" t="s">
        <v>3922</v>
      </c>
      <c r="H530" s="67" t="s">
        <v>3923</v>
      </c>
      <c r="I530" s="67" t="s">
        <v>161</v>
      </c>
      <c r="J530" s="67" t="s">
        <v>161</v>
      </c>
      <c r="K530" s="67" t="s">
        <v>161</v>
      </c>
      <c r="L530" s="67" t="s">
        <v>3924</v>
      </c>
      <c r="M530" s="67" t="s">
        <v>3925</v>
      </c>
      <c r="N530" s="67" t="s">
        <v>3925</v>
      </c>
      <c r="O530" s="67" t="s">
        <v>165</v>
      </c>
      <c r="P530" s="67" t="s">
        <v>3926</v>
      </c>
    </row>
    <row r="531" s="43" customFormat="1" customHeight="1" spans="1:16">
      <c r="A531" s="67" t="s">
        <v>3927</v>
      </c>
      <c r="B531" s="67">
        <v>76.3</v>
      </c>
      <c r="C531" s="67">
        <v>11</v>
      </c>
      <c r="D531" s="67" t="s">
        <v>3928</v>
      </c>
      <c r="E531" s="67" t="s">
        <v>3929</v>
      </c>
      <c r="F531" s="67" t="s">
        <v>12</v>
      </c>
      <c r="G531" s="67" t="s">
        <v>3930</v>
      </c>
      <c r="H531" s="67" t="s">
        <v>3931</v>
      </c>
      <c r="I531" s="67" t="s">
        <v>161</v>
      </c>
      <c r="J531" s="67" t="s">
        <v>161</v>
      </c>
      <c r="K531" s="67" t="s">
        <v>161</v>
      </c>
      <c r="L531" s="67" t="s">
        <v>3932</v>
      </c>
      <c r="M531" s="67" t="s">
        <v>3933</v>
      </c>
      <c r="N531" s="67" t="s">
        <v>3933</v>
      </c>
      <c r="O531" s="67" t="s">
        <v>165</v>
      </c>
      <c r="P531" s="67" t="s">
        <v>3934</v>
      </c>
    </row>
    <row r="532" s="43" customFormat="1" hidden="1" customHeight="1" spans="1:16">
      <c r="A532" s="67" t="s">
        <v>3935</v>
      </c>
      <c r="B532" s="67">
        <v>26.89</v>
      </c>
      <c r="C532" s="67">
        <v>2</v>
      </c>
      <c r="D532" s="67" t="s">
        <v>3629</v>
      </c>
      <c r="E532" s="67" t="s">
        <v>3630</v>
      </c>
      <c r="F532" s="67" t="s">
        <v>12</v>
      </c>
      <c r="G532" s="67" t="s">
        <v>3936</v>
      </c>
      <c r="H532" s="67" t="s">
        <v>3937</v>
      </c>
      <c r="I532" s="67" t="s">
        <v>161</v>
      </c>
      <c r="J532" s="67" t="s">
        <v>161</v>
      </c>
      <c r="K532" s="67" t="s">
        <v>161</v>
      </c>
      <c r="L532" s="67" t="s">
        <v>3938</v>
      </c>
      <c r="M532" s="67" t="s">
        <v>3939</v>
      </c>
      <c r="N532" s="67" t="s">
        <v>3939</v>
      </c>
      <c r="O532" s="67" t="s">
        <v>165</v>
      </c>
      <c r="P532" s="67" t="s">
        <v>3940</v>
      </c>
    </row>
    <row r="533" s="43" customFormat="1" customHeight="1" spans="1:16">
      <c r="A533" s="67" t="s">
        <v>3941</v>
      </c>
      <c r="B533" s="67">
        <v>59.6</v>
      </c>
      <c r="C533" s="67">
        <v>6</v>
      </c>
      <c r="D533" s="67" t="s">
        <v>3942</v>
      </c>
      <c r="E533" s="67" t="s">
        <v>3943</v>
      </c>
      <c r="F533" s="67" t="s">
        <v>12</v>
      </c>
      <c r="G533" s="67" t="s">
        <v>3944</v>
      </c>
      <c r="H533" s="67" t="s">
        <v>3945</v>
      </c>
      <c r="I533" s="67" t="s">
        <v>161</v>
      </c>
      <c r="J533" s="67" t="s">
        <v>161</v>
      </c>
      <c r="K533" s="67" t="s">
        <v>161</v>
      </c>
      <c r="L533" s="67" t="s">
        <v>3946</v>
      </c>
      <c r="M533" s="67" t="s">
        <v>3947</v>
      </c>
      <c r="N533" s="67" t="s">
        <v>3947</v>
      </c>
      <c r="O533" s="67" t="s">
        <v>165</v>
      </c>
      <c r="P533" s="67" t="s">
        <v>3948</v>
      </c>
    </row>
    <row r="534" s="43" customFormat="1" hidden="1" customHeight="1" spans="1:16">
      <c r="A534" s="67" t="s">
        <v>3949</v>
      </c>
      <c r="B534" s="67">
        <v>26.89</v>
      </c>
      <c r="C534" s="67">
        <v>2</v>
      </c>
      <c r="D534" s="67" t="s">
        <v>3683</v>
      </c>
      <c r="E534" s="67" t="s">
        <v>3684</v>
      </c>
      <c r="F534" s="67" t="s">
        <v>12</v>
      </c>
      <c r="G534" s="67" t="s">
        <v>3950</v>
      </c>
      <c r="H534" s="67" t="s">
        <v>3951</v>
      </c>
      <c r="I534" s="67" t="s">
        <v>161</v>
      </c>
      <c r="J534" s="67" t="s">
        <v>161</v>
      </c>
      <c r="K534" s="67" t="s">
        <v>161</v>
      </c>
      <c r="L534" s="67" t="s">
        <v>3952</v>
      </c>
      <c r="M534" s="67" t="s">
        <v>3953</v>
      </c>
      <c r="N534" s="67" t="s">
        <v>3953</v>
      </c>
      <c r="O534" s="67" t="s">
        <v>165</v>
      </c>
      <c r="P534" s="67" t="s">
        <v>3954</v>
      </c>
    </row>
    <row r="535" s="43" customFormat="1" hidden="1" customHeight="1" spans="1:16">
      <c r="A535" s="67" t="s">
        <v>3955</v>
      </c>
      <c r="B535" s="67">
        <v>26.89</v>
      </c>
      <c r="C535" s="67">
        <v>2</v>
      </c>
      <c r="D535" s="67" t="s">
        <v>3262</v>
      </c>
      <c r="E535" s="67" t="s">
        <v>3263</v>
      </c>
      <c r="F535" s="67" t="s">
        <v>12</v>
      </c>
      <c r="G535" s="67" t="s">
        <v>3956</v>
      </c>
      <c r="H535" s="67" t="s">
        <v>3957</v>
      </c>
      <c r="I535" s="67" t="s">
        <v>161</v>
      </c>
      <c r="J535" s="67" t="s">
        <v>161</v>
      </c>
      <c r="K535" s="67" t="s">
        <v>161</v>
      </c>
      <c r="L535" s="67" t="s">
        <v>3958</v>
      </c>
      <c r="M535" s="67" t="s">
        <v>3959</v>
      </c>
      <c r="N535" s="67" t="s">
        <v>3959</v>
      </c>
      <c r="O535" s="67" t="s">
        <v>165</v>
      </c>
      <c r="P535" s="67" t="s">
        <v>3960</v>
      </c>
    </row>
    <row r="536" s="43" customFormat="1" hidden="1" customHeight="1" spans="1:16">
      <c r="A536" s="67" t="s">
        <v>3961</v>
      </c>
      <c r="B536" s="67">
        <v>32.39</v>
      </c>
      <c r="C536" s="67">
        <v>3</v>
      </c>
      <c r="D536" s="67" t="s">
        <v>3962</v>
      </c>
      <c r="E536" s="67" t="s">
        <v>3963</v>
      </c>
      <c r="F536" s="67" t="s">
        <v>12</v>
      </c>
      <c r="G536" s="67" t="s">
        <v>3964</v>
      </c>
      <c r="H536" s="67" t="s">
        <v>3965</v>
      </c>
      <c r="I536" s="67" t="s">
        <v>161</v>
      </c>
      <c r="J536" s="67" t="s">
        <v>161</v>
      </c>
      <c r="K536" s="67" t="s">
        <v>161</v>
      </c>
      <c r="L536" s="67" t="s">
        <v>3966</v>
      </c>
      <c r="M536" s="67" t="s">
        <v>3967</v>
      </c>
      <c r="N536" s="67" t="s">
        <v>3967</v>
      </c>
      <c r="O536" s="67" t="s">
        <v>165</v>
      </c>
      <c r="P536" s="67" t="s">
        <v>3968</v>
      </c>
    </row>
    <row r="537" s="43" customFormat="1" customHeight="1" spans="1:16">
      <c r="A537" s="67" t="s">
        <v>3969</v>
      </c>
      <c r="B537" s="67">
        <v>28.09</v>
      </c>
      <c r="C537" s="67">
        <v>2</v>
      </c>
      <c r="D537" s="67" t="s">
        <v>3970</v>
      </c>
      <c r="E537" s="67" t="s">
        <v>3630</v>
      </c>
      <c r="F537" s="67" t="s">
        <v>78</v>
      </c>
      <c r="G537" s="67" t="s">
        <v>3971</v>
      </c>
      <c r="H537" s="67" t="s">
        <v>3972</v>
      </c>
      <c r="I537" s="67" t="s">
        <v>161</v>
      </c>
      <c r="J537" s="67" t="s">
        <v>161</v>
      </c>
      <c r="K537" s="67" t="s">
        <v>161</v>
      </c>
      <c r="L537" s="67" t="s">
        <v>3973</v>
      </c>
      <c r="M537" s="67" t="s">
        <v>3974</v>
      </c>
      <c r="N537" s="67" t="s">
        <v>3974</v>
      </c>
      <c r="O537" s="67" t="s">
        <v>165</v>
      </c>
      <c r="P537" s="67" t="s">
        <v>3975</v>
      </c>
    </row>
    <row r="538" s="43" customFormat="1" customHeight="1" spans="1:16">
      <c r="A538" s="67" t="s">
        <v>3976</v>
      </c>
      <c r="B538" s="67">
        <v>38.5</v>
      </c>
      <c r="C538" s="67">
        <v>4</v>
      </c>
      <c r="D538" s="67" t="s">
        <v>3977</v>
      </c>
      <c r="E538" s="67" t="s">
        <v>3978</v>
      </c>
      <c r="F538" s="67" t="s">
        <v>98</v>
      </c>
      <c r="G538" s="67" t="s">
        <v>3979</v>
      </c>
      <c r="H538" s="67" t="s">
        <v>3980</v>
      </c>
      <c r="I538" s="67" t="s">
        <v>161</v>
      </c>
      <c r="J538" s="67" t="s">
        <v>161</v>
      </c>
      <c r="K538" s="67" t="s">
        <v>161</v>
      </c>
      <c r="L538" s="67" t="s">
        <v>3981</v>
      </c>
      <c r="M538" s="67" t="s">
        <v>3982</v>
      </c>
      <c r="N538" s="67" t="s">
        <v>3982</v>
      </c>
      <c r="O538" s="67" t="s">
        <v>165</v>
      </c>
      <c r="P538" s="67" t="s">
        <v>3983</v>
      </c>
    </row>
    <row r="539" s="43" customFormat="1" customHeight="1" spans="1:16">
      <c r="A539" s="67" t="s">
        <v>3984</v>
      </c>
      <c r="B539" s="67">
        <v>54.75</v>
      </c>
      <c r="C539" s="67">
        <v>4</v>
      </c>
      <c r="D539" s="67" t="s">
        <v>3985</v>
      </c>
      <c r="E539" s="67" t="s">
        <v>3369</v>
      </c>
      <c r="F539" s="67" t="s">
        <v>78</v>
      </c>
      <c r="G539" s="67" t="s">
        <v>3986</v>
      </c>
      <c r="H539" s="67" t="s">
        <v>3987</v>
      </c>
      <c r="I539" s="67" t="s">
        <v>161</v>
      </c>
      <c r="J539" s="67" t="s">
        <v>161</v>
      </c>
      <c r="K539" s="67" t="s">
        <v>161</v>
      </c>
      <c r="L539" s="67" t="s">
        <v>3988</v>
      </c>
      <c r="M539" s="67" t="s">
        <v>3989</v>
      </c>
      <c r="N539" s="67" t="s">
        <v>3989</v>
      </c>
      <c r="O539" s="67" t="s">
        <v>165</v>
      </c>
      <c r="P539" s="67" t="s">
        <v>3990</v>
      </c>
    </row>
    <row r="540" s="43" customFormat="1" customHeight="1" spans="1:16">
      <c r="A540" s="67" t="s">
        <v>3991</v>
      </c>
      <c r="B540" s="67">
        <v>50.19</v>
      </c>
      <c r="C540" s="67">
        <v>4</v>
      </c>
      <c r="D540" s="67" t="s">
        <v>3992</v>
      </c>
      <c r="E540" s="67" t="s">
        <v>3993</v>
      </c>
      <c r="F540" s="67" t="s">
        <v>78</v>
      </c>
      <c r="G540" s="67" t="s">
        <v>3994</v>
      </c>
      <c r="H540" s="67" t="s">
        <v>3995</v>
      </c>
      <c r="I540" s="67" t="s">
        <v>161</v>
      </c>
      <c r="J540" s="67" t="s">
        <v>161</v>
      </c>
      <c r="K540" s="67" t="s">
        <v>161</v>
      </c>
      <c r="L540" s="67" t="s">
        <v>3996</v>
      </c>
      <c r="M540" s="67" t="s">
        <v>3997</v>
      </c>
      <c r="N540" s="67" t="s">
        <v>3997</v>
      </c>
      <c r="O540" s="67" t="s">
        <v>165</v>
      </c>
      <c r="P540" s="67" t="s">
        <v>3998</v>
      </c>
    </row>
    <row r="541" s="43" customFormat="1" hidden="1" customHeight="1" spans="1:16">
      <c r="A541" s="67" t="s">
        <v>3999</v>
      </c>
      <c r="B541" s="67">
        <v>52.7</v>
      </c>
      <c r="C541" s="67">
        <v>5</v>
      </c>
      <c r="D541" s="67" t="s">
        <v>4000</v>
      </c>
      <c r="E541" s="67" t="s">
        <v>4001</v>
      </c>
      <c r="F541" s="67" t="s">
        <v>12</v>
      </c>
      <c r="G541" s="67" t="s">
        <v>4002</v>
      </c>
      <c r="H541" s="67" t="s">
        <v>4003</v>
      </c>
      <c r="I541" s="67" t="s">
        <v>161</v>
      </c>
      <c r="J541" s="67" t="s">
        <v>161</v>
      </c>
      <c r="K541" s="67" t="s">
        <v>161</v>
      </c>
      <c r="L541" s="67" t="s">
        <v>4004</v>
      </c>
      <c r="M541" s="67" t="s">
        <v>4005</v>
      </c>
      <c r="N541" s="67" t="s">
        <v>4005</v>
      </c>
      <c r="O541" s="67" t="s">
        <v>165</v>
      </c>
      <c r="P541" s="67" t="s">
        <v>4006</v>
      </c>
    </row>
    <row r="542" s="43" customFormat="1" hidden="1" customHeight="1" spans="1:16">
      <c r="A542" s="67" t="s">
        <v>4007</v>
      </c>
      <c r="B542" s="67">
        <v>54.75</v>
      </c>
      <c r="C542" s="67">
        <v>5</v>
      </c>
      <c r="D542" s="67" t="s">
        <v>4008</v>
      </c>
      <c r="E542" s="67" t="s">
        <v>4009</v>
      </c>
      <c r="F542" s="67" t="s">
        <v>12</v>
      </c>
      <c r="G542" s="67" t="s">
        <v>4010</v>
      </c>
      <c r="H542" s="67" t="s">
        <v>4011</v>
      </c>
      <c r="I542" s="67" t="s">
        <v>161</v>
      </c>
      <c r="J542" s="67" t="s">
        <v>161</v>
      </c>
      <c r="K542" s="67" t="s">
        <v>161</v>
      </c>
      <c r="L542" s="67" t="s">
        <v>4012</v>
      </c>
      <c r="M542" s="67" t="s">
        <v>4013</v>
      </c>
      <c r="N542" s="67" t="s">
        <v>4013</v>
      </c>
      <c r="O542" s="67" t="s">
        <v>165</v>
      </c>
      <c r="P542" s="67" t="s">
        <v>4014</v>
      </c>
    </row>
    <row r="543" s="43" customFormat="1" hidden="1" customHeight="1" spans="1:16">
      <c r="A543" s="67" t="s">
        <v>4015</v>
      </c>
      <c r="B543" s="67">
        <v>28.09</v>
      </c>
      <c r="C543" s="67">
        <v>2</v>
      </c>
      <c r="D543" s="67" t="s">
        <v>3629</v>
      </c>
      <c r="E543" s="67" t="s">
        <v>3630</v>
      </c>
      <c r="F543" s="67" t="s">
        <v>12</v>
      </c>
      <c r="G543" s="67" t="s">
        <v>4016</v>
      </c>
      <c r="H543" s="67" t="s">
        <v>4017</v>
      </c>
      <c r="I543" s="67" t="s">
        <v>161</v>
      </c>
      <c r="J543" s="67" t="s">
        <v>161</v>
      </c>
      <c r="K543" s="67" t="s">
        <v>161</v>
      </c>
      <c r="L543" s="67" t="s">
        <v>4018</v>
      </c>
      <c r="M543" s="67" t="s">
        <v>4019</v>
      </c>
      <c r="N543" s="67" t="s">
        <v>4019</v>
      </c>
      <c r="O543" s="67" t="s">
        <v>165</v>
      </c>
      <c r="P543" s="67" t="s">
        <v>4020</v>
      </c>
    </row>
    <row r="544" s="43" customFormat="1" customHeight="1" spans="1:16">
      <c r="A544" s="67" t="s">
        <v>4021</v>
      </c>
      <c r="B544" s="67">
        <v>35.7</v>
      </c>
      <c r="C544" s="67">
        <v>4</v>
      </c>
      <c r="D544" s="67" t="s">
        <v>3271</v>
      </c>
      <c r="E544" s="67" t="s">
        <v>4022</v>
      </c>
      <c r="F544" s="67" t="s">
        <v>12</v>
      </c>
      <c r="G544" s="67" t="s">
        <v>4023</v>
      </c>
      <c r="H544" s="67" t="s">
        <v>4024</v>
      </c>
      <c r="I544" s="67" t="s">
        <v>161</v>
      </c>
      <c r="J544" s="67" t="s">
        <v>161</v>
      </c>
      <c r="K544" s="67" t="s">
        <v>161</v>
      </c>
      <c r="L544" s="67" t="s">
        <v>4025</v>
      </c>
      <c r="M544" s="67" t="s">
        <v>4026</v>
      </c>
      <c r="N544" s="67" t="s">
        <v>4026</v>
      </c>
      <c r="O544" s="67" t="s">
        <v>165</v>
      </c>
      <c r="P544" s="67" t="s">
        <v>4027</v>
      </c>
    </row>
    <row r="545" s="43" customFormat="1" customHeight="1" spans="1:16">
      <c r="A545" s="67" t="s">
        <v>4028</v>
      </c>
      <c r="B545" s="67">
        <v>37.75</v>
      </c>
      <c r="C545" s="67">
        <v>4</v>
      </c>
      <c r="D545" s="67" t="s">
        <v>4029</v>
      </c>
      <c r="E545" s="67" t="s">
        <v>4030</v>
      </c>
      <c r="F545" s="67" t="s">
        <v>12</v>
      </c>
      <c r="G545" s="67" t="s">
        <v>4031</v>
      </c>
      <c r="H545" s="67" t="s">
        <v>4032</v>
      </c>
      <c r="I545" s="67" t="s">
        <v>161</v>
      </c>
      <c r="J545" s="67" t="s">
        <v>161</v>
      </c>
      <c r="K545" s="67" t="s">
        <v>161</v>
      </c>
      <c r="L545" s="67" t="s">
        <v>4033</v>
      </c>
      <c r="M545" s="67" t="s">
        <v>4034</v>
      </c>
      <c r="N545" s="67" t="s">
        <v>4034</v>
      </c>
      <c r="O545" s="67" t="s">
        <v>165</v>
      </c>
      <c r="P545" s="67" t="s">
        <v>4035</v>
      </c>
    </row>
    <row r="546" s="43" customFormat="1" hidden="1" customHeight="1" spans="1:16">
      <c r="A546" s="67" t="s">
        <v>4036</v>
      </c>
      <c r="B546" s="67">
        <v>35.75</v>
      </c>
      <c r="C546" s="67">
        <v>4</v>
      </c>
      <c r="D546" s="67" t="s">
        <v>3376</v>
      </c>
      <c r="E546" s="67" t="s">
        <v>3377</v>
      </c>
      <c r="F546" s="67" t="s">
        <v>12</v>
      </c>
      <c r="G546" s="67" t="s">
        <v>4037</v>
      </c>
      <c r="H546" s="67" t="s">
        <v>4038</v>
      </c>
      <c r="I546" s="67" t="s">
        <v>161</v>
      </c>
      <c r="J546" s="67" t="s">
        <v>161</v>
      </c>
      <c r="K546" s="67" t="s">
        <v>161</v>
      </c>
      <c r="L546" s="67" t="s">
        <v>4039</v>
      </c>
      <c r="M546" s="67" t="s">
        <v>4040</v>
      </c>
      <c r="N546" s="67" t="s">
        <v>4040</v>
      </c>
      <c r="O546" s="67" t="s">
        <v>165</v>
      </c>
      <c r="P546" s="67" t="s">
        <v>4041</v>
      </c>
    </row>
    <row r="547" s="43" customFormat="1" customHeight="1" spans="1:16">
      <c r="A547" s="67" t="s">
        <v>4042</v>
      </c>
      <c r="B547" s="67">
        <v>85.11</v>
      </c>
      <c r="C547" s="67">
        <v>9</v>
      </c>
      <c r="D547" s="67" t="s">
        <v>4043</v>
      </c>
      <c r="E547" s="67" t="s">
        <v>4044</v>
      </c>
      <c r="F547" s="67" t="s">
        <v>98</v>
      </c>
      <c r="G547" s="67" t="s">
        <v>4045</v>
      </c>
      <c r="H547" s="67" t="s">
        <v>4046</v>
      </c>
      <c r="I547" s="67" t="s">
        <v>161</v>
      </c>
      <c r="J547" s="67" t="s">
        <v>161</v>
      </c>
      <c r="K547" s="67" t="s">
        <v>161</v>
      </c>
      <c r="L547" s="67" t="s">
        <v>4047</v>
      </c>
      <c r="M547" s="67" t="s">
        <v>4048</v>
      </c>
      <c r="N547" s="67" t="s">
        <v>4048</v>
      </c>
      <c r="O547" s="67" t="s">
        <v>165</v>
      </c>
      <c r="P547" s="67" t="s">
        <v>4049</v>
      </c>
    </row>
    <row r="548" s="43" customFormat="1" hidden="1" customHeight="1" spans="1:16">
      <c r="A548" s="67" t="s">
        <v>4050</v>
      </c>
      <c r="B548" s="67">
        <v>50.07</v>
      </c>
      <c r="C548" s="67">
        <v>5</v>
      </c>
      <c r="D548" s="67" t="s">
        <v>4051</v>
      </c>
      <c r="E548" s="67" t="s">
        <v>4052</v>
      </c>
      <c r="F548" s="67" t="s">
        <v>12</v>
      </c>
      <c r="G548" s="67" t="s">
        <v>4053</v>
      </c>
      <c r="H548" s="67" t="s">
        <v>4054</v>
      </c>
      <c r="I548" s="67" t="s">
        <v>161</v>
      </c>
      <c r="J548" s="67" t="s">
        <v>161</v>
      </c>
      <c r="K548" s="67" t="s">
        <v>161</v>
      </c>
      <c r="L548" s="67" t="s">
        <v>4055</v>
      </c>
      <c r="M548" s="67" t="s">
        <v>4056</v>
      </c>
      <c r="N548" s="67" t="s">
        <v>4056</v>
      </c>
      <c r="O548" s="67" t="s">
        <v>165</v>
      </c>
      <c r="P548" s="67" t="s">
        <v>4057</v>
      </c>
    </row>
    <row r="549" s="43" customFormat="1" hidden="1" customHeight="1" spans="1:16">
      <c r="A549" s="67" t="s">
        <v>4058</v>
      </c>
      <c r="B549" s="67">
        <v>30.85</v>
      </c>
      <c r="C549" s="67">
        <v>3</v>
      </c>
      <c r="D549" s="67" t="s">
        <v>3597</v>
      </c>
      <c r="E549" s="67" t="s">
        <v>3598</v>
      </c>
      <c r="F549" s="67" t="s">
        <v>12</v>
      </c>
      <c r="G549" s="67" t="s">
        <v>4059</v>
      </c>
      <c r="H549" s="67" t="s">
        <v>4060</v>
      </c>
      <c r="I549" s="67" t="s">
        <v>161</v>
      </c>
      <c r="J549" s="67" t="s">
        <v>161</v>
      </c>
      <c r="K549" s="67" t="s">
        <v>161</v>
      </c>
      <c r="L549" s="67" t="s">
        <v>4061</v>
      </c>
      <c r="M549" s="67" t="s">
        <v>4062</v>
      </c>
      <c r="N549" s="67" t="s">
        <v>4062</v>
      </c>
      <c r="O549" s="67" t="s">
        <v>165</v>
      </c>
      <c r="P549" s="67" t="s">
        <v>4063</v>
      </c>
    </row>
    <row r="550" s="43" customFormat="1" customHeight="1" spans="1:16">
      <c r="A550" s="67" t="s">
        <v>4064</v>
      </c>
      <c r="B550" s="67">
        <v>54.7</v>
      </c>
      <c r="C550" s="67">
        <v>5</v>
      </c>
      <c r="D550" s="67" t="s">
        <v>4065</v>
      </c>
      <c r="E550" s="67" t="s">
        <v>4066</v>
      </c>
      <c r="F550" s="67" t="s">
        <v>78</v>
      </c>
      <c r="G550" s="67" t="s">
        <v>4067</v>
      </c>
      <c r="H550" s="67" t="s">
        <v>4068</v>
      </c>
      <c r="I550" s="67" t="s">
        <v>161</v>
      </c>
      <c r="J550" s="67" t="s">
        <v>161</v>
      </c>
      <c r="K550" s="67" t="s">
        <v>161</v>
      </c>
      <c r="L550" s="67" t="s">
        <v>4069</v>
      </c>
      <c r="M550" s="67" t="s">
        <v>4070</v>
      </c>
      <c r="N550" s="67" t="s">
        <v>4070</v>
      </c>
      <c r="O550" s="67" t="s">
        <v>165</v>
      </c>
      <c r="P550" s="67" t="s">
        <v>4071</v>
      </c>
    </row>
    <row r="551" s="43" customFormat="1" hidden="1" customHeight="1" spans="1:16">
      <c r="A551" s="67" t="s">
        <v>4072</v>
      </c>
      <c r="B551" s="67">
        <v>26.89</v>
      </c>
      <c r="C551" s="67">
        <v>2</v>
      </c>
      <c r="D551" s="67" t="s">
        <v>3637</v>
      </c>
      <c r="E551" s="67" t="s">
        <v>3638</v>
      </c>
      <c r="F551" s="67" t="s">
        <v>12</v>
      </c>
      <c r="G551" s="67" t="s">
        <v>4073</v>
      </c>
      <c r="H551" s="67" t="s">
        <v>4074</v>
      </c>
      <c r="I551" s="67" t="s">
        <v>161</v>
      </c>
      <c r="J551" s="67" t="s">
        <v>161</v>
      </c>
      <c r="K551" s="67" t="s">
        <v>161</v>
      </c>
      <c r="L551" s="67" t="s">
        <v>4075</v>
      </c>
      <c r="M551" s="67" t="s">
        <v>4076</v>
      </c>
      <c r="N551" s="67" t="s">
        <v>4076</v>
      </c>
      <c r="O551" s="67" t="s">
        <v>165</v>
      </c>
      <c r="P551" s="67" t="s">
        <v>4077</v>
      </c>
    </row>
    <row r="552" s="43" customFormat="1" hidden="1" customHeight="1" spans="1:16">
      <c r="A552" s="67" t="s">
        <v>4078</v>
      </c>
      <c r="B552" s="67">
        <v>35.75</v>
      </c>
      <c r="C552" s="67">
        <v>4</v>
      </c>
      <c r="D552" s="67" t="s">
        <v>3376</v>
      </c>
      <c r="E552" s="67" t="s">
        <v>3377</v>
      </c>
      <c r="F552" s="67" t="s">
        <v>12</v>
      </c>
      <c r="G552" s="67" t="s">
        <v>4079</v>
      </c>
      <c r="H552" s="67" t="s">
        <v>4080</v>
      </c>
      <c r="I552" s="67" t="s">
        <v>161</v>
      </c>
      <c r="J552" s="67" t="s">
        <v>161</v>
      </c>
      <c r="K552" s="67" t="s">
        <v>161</v>
      </c>
      <c r="L552" s="67" t="s">
        <v>4081</v>
      </c>
      <c r="M552" s="67" t="s">
        <v>4082</v>
      </c>
      <c r="N552" s="67" t="s">
        <v>4082</v>
      </c>
      <c r="O552" s="67" t="s">
        <v>165</v>
      </c>
      <c r="P552" s="67" t="s">
        <v>4083</v>
      </c>
    </row>
    <row r="553" s="43" customFormat="1" hidden="1" customHeight="1" spans="1:16">
      <c r="A553" s="67" t="s">
        <v>4084</v>
      </c>
      <c r="B553" s="67">
        <v>26.89</v>
      </c>
      <c r="C553" s="67">
        <v>2</v>
      </c>
      <c r="D553" s="67" t="s">
        <v>3479</v>
      </c>
      <c r="E553" s="67" t="s">
        <v>3480</v>
      </c>
      <c r="F553" s="67" t="s">
        <v>12</v>
      </c>
      <c r="G553" s="67" t="s">
        <v>4085</v>
      </c>
      <c r="H553" s="67" t="s">
        <v>4086</v>
      </c>
      <c r="I553" s="67" t="s">
        <v>161</v>
      </c>
      <c r="J553" s="67" t="s">
        <v>161</v>
      </c>
      <c r="K553" s="67" t="s">
        <v>4087</v>
      </c>
      <c r="L553" s="67" t="s">
        <v>4088</v>
      </c>
      <c r="M553" s="67" t="s">
        <v>4089</v>
      </c>
      <c r="N553" s="67" t="s">
        <v>4089</v>
      </c>
      <c r="O553" s="67" t="s">
        <v>165</v>
      </c>
      <c r="P553" s="67" t="s">
        <v>4090</v>
      </c>
    </row>
    <row r="554" s="43" customFormat="1" hidden="1" customHeight="1" spans="1:16">
      <c r="A554" s="67" t="s">
        <v>4091</v>
      </c>
      <c r="B554" s="67">
        <v>26.89</v>
      </c>
      <c r="C554" s="67">
        <v>2</v>
      </c>
      <c r="D554" s="67" t="s">
        <v>3629</v>
      </c>
      <c r="E554" s="67" t="s">
        <v>3630</v>
      </c>
      <c r="F554" s="67" t="s">
        <v>12</v>
      </c>
      <c r="G554" s="67" t="s">
        <v>4092</v>
      </c>
      <c r="H554" s="67" t="s">
        <v>4093</v>
      </c>
      <c r="I554" s="67" t="s">
        <v>161</v>
      </c>
      <c r="J554" s="67" t="s">
        <v>649</v>
      </c>
      <c r="K554" s="67" t="s">
        <v>161</v>
      </c>
      <c r="L554" s="67" t="s">
        <v>4094</v>
      </c>
      <c r="M554" s="67" t="s">
        <v>4095</v>
      </c>
      <c r="N554" s="67" t="s">
        <v>4095</v>
      </c>
      <c r="O554" s="67" t="s">
        <v>165</v>
      </c>
      <c r="P554" s="67" t="s">
        <v>4096</v>
      </c>
    </row>
    <row r="555" s="43" customFormat="1" customHeight="1" spans="1:16">
      <c r="A555" s="67" t="s">
        <v>4097</v>
      </c>
      <c r="B555" s="67">
        <v>47.8</v>
      </c>
      <c r="C555" s="67">
        <v>4</v>
      </c>
      <c r="D555" s="67" t="s">
        <v>4098</v>
      </c>
      <c r="E555" s="67" t="s">
        <v>4099</v>
      </c>
      <c r="F555" s="67" t="s">
        <v>78</v>
      </c>
      <c r="G555" s="67" t="s">
        <v>4100</v>
      </c>
      <c r="H555" s="67" t="s">
        <v>4101</v>
      </c>
      <c r="I555" s="67" t="s">
        <v>161</v>
      </c>
      <c r="J555" s="67" t="s">
        <v>161</v>
      </c>
      <c r="K555" s="67" t="s">
        <v>161</v>
      </c>
      <c r="L555" s="67" t="s">
        <v>4102</v>
      </c>
      <c r="M555" s="67" t="s">
        <v>4103</v>
      </c>
      <c r="N555" s="67" t="s">
        <v>4103</v>
      </c>
      <c r="O555" s="67" t="s">
        <v>165</v>
      </c>
      <c r="P555" s="67" t="s">
        <v>4104</v>
      </c>
    </row>
    <row r="556" s="43" customFormat="1" hidden="1" customHeight="1" spans="1:16">
      <c r="A556" s="67" t="s">
        <v>4105</v>
      </c>
      <c r="B556" s="67">
        <v>11.89</v>
      </c>
      <c r="C556" s="67">
        <v>2</v>
      </c>
      <c r="D556" s="67" t="s">
        <v>4106</v>
      </c>
      <c r="E556" s="67" t="s">
        <v>3654</v>
      </c>
      <c r="F556" s="67" t="s">
        <v>12</v>
      </c>
      <c r="G556" s="67" t="s">
        <v>4107</v>
      </c>
      <c r="H556" s="67" t="s">
        <v>4108</v>
      </c>
      <c r="I556" s="67" t="s">
        <v>161</v>
      </c>
      <c r="J556" s="67" t="s">
        <v>649</v>
      </c>
      <c r="K556" s="67" t="s">
        <v>161</v>
      </c>
      <c r="L556" s="67" t="s">
        <v>4109</v>
      </c>
      <c r="M556" s="67" t="s">
        <v>4110</v>
      </c>
      <c r="N556" s="67" t="s">
        <v>4110</v>
      </c>
      <c r="O556" s="67" t="s">
        <v>165</v>
      </c>
      <c r="P556" s="67" t="s">
        <v>4111</v>
      </c>
    </row>
    <row r="557" s="43" customFormat="1" customHeight="1" spans="1:16">
      <c r="A557" s="67" t="s">
        <v>4112</v>
      </c>
      <c r="B557" s="67">
        <v>43.73</v>
      </c>
      <c r="C557" s="67">
        <v>5</v>
      </c>
      <c r="D557" s="67" t="s">
        <v>4113</v>
      </c>
      <c r="E557" s="67" t="s">
        <v>4114</v>
      </c>
      <c r="F557" s="67" t="s">
        <v>98</v>
      </c>
      <c r="G557" s="67" t="s">
        <v>4115</v>
      </c>
      <c r="H557" s="67" t="s">
        <v>4116</v>
      </c>
      <c r="I557" s="67" t="s">
        <v>161</v>
      </c>
      <c r="J557" s="67" t="s">
        <v>161</v>
      </c>
      <c r="K557" s="67" t="s">
        <v>161</v>
      </c>
      <c r="L557" s="67" t="s">
        <v>4117</v>
      </c>
      <c r="M557" s="67" t="s">
        <v>4118</v>
      </c>
      <c r="N557" s="67" t="s">
        <v>4118</v>
      </c>
      <c r="O557" s="67" t="s">
        <v>165</v>
      </c>
      <c r="P557" s="67" t="s">
        <v>4119</v>
      </c>
    </row>
    <row r="558" s="43" customFormat="1" hidden="1" customHeight="1" spans="1:16">
      <c r="A558" s="67" t="s">
        <v>4120</v>
      </c>
      <c r="B558" s="67">
        <v>26.89</v>
      </c>
      <c r="C558" s="67">
        <v>2</v>
      </c>
      <c r="D558" s="67" t="s">
        <v>3262</v>
      </c>
      <c r="E558" s="67" t="s">
        <v>3263</v>
      </c>
      <c r="F558" s="67" t="s">
        <v>12</v>
      </c>
      <c r="G558" s="67" t="s">
        <v>4121</v>
      </c>
      <c r="H558" s="67" t="s">
        <v>4122</v>
      </c>
      <c r="I558" s="67" t="s">
        <v>161</v>
      </c>
      <c r="J558" s="67" t="s">
        <v>649</v>
      </c>
      <c r="K558" s="67" t="s">
        <v>161</v>
      </c>
      <c r="L558" s="67" t="s">
        <v>4123</v>
      </c>
      <c r="M558" s="67" t="s">
        <v>4124</v>
      </c>
      <c r="N558" s="67" t="s">
        <v>4124</v>
      </c>
      <c r="O558" s="67" t="s">
        <v>165</v>
      </c>
      <c r="P558" s="67" t="s">
        <v>4125</v>
      </c>
    </row>
    <row r="559" s="43" customFormat="1" hidden="1" customHeight="1" spans="1:16">
      <c r="A559" s="67" t="s">
        <v>4126</v>
      </c>
      <c r="B559" s="67">
        <v>32.79</v>
      </c>
      <c r="C559" s="67">
        <v>3</v>
      </c>
      <c r="D559" s="67" t="s">
        <v>4127</v>
      </c>
      <c r="E559" s="67" t="s">
        <v>3417</v>
      </c>
      <c r="F559" s="67" t="s">
        <v>12</v>
      </c>
      <c r="G559" s="67" t="s">
        <v>4128</v>
      </c>
      <c r="H559" s="67" t="s">
        <v>4129</v>
      </c>
      <c r="I559" s="67" t="s">
        <v>161</v>
      </c>
      <c r="J559" s="67" t="s">
        <v>649</v>
      </c>
      <c r="K559" s="67" t="s">
        <v>161</v>
      </c>
      <c r="L559" s="67" t="s">
        <v>4130</v>
      </c>
      <c r="M559" s="67" t="s">
        <v>4131</v>
      </c>
      <c r="N559" s="67" t="s">
        <v>4131</v>
      </c>
      <c r="O559" s="67" t="s">
        <v>165</v>
      </c>
      <c r="P559" s="67" t="s">
        <v>4132</v>
      </c>
    </row>
    <row r="560" s="43" customFormat="1" hidden="1" customHeight="1" spans="1:16">
      <c r="A560" s="67" t="s">
        <v>4133</v>
      </c>
      <c r="B560" s="67">
        <v>47.8</v>
      </c>
      <c r="C560" s="67">
        <v>4</v>
      </c>
      <c r="D560" s="67" t="s">
        <v>4134</v>
      </c>
      <c r="E560" s="67" t="s">
        <v>4135</v>
      </c>
      <c r="F560" s="67" t="s">
        <v>12</v>
      </c>
      <c r="G560" s="67" t="s">
        <v>4136</v>
      </c>
      <c r="H560" s="67" t="s">
        <v>4137</v>
      </c>
      <c r="I560" s="67" t="s">
        <v>161</v>
      </c>
      <c r="J560" s="67" t="s">
        <v>161</v>
      </c>
      <c r="K560" s="67" t="s">
        <v>161</v>
      </c>
      <c r="L560" s="67" t="s">
        <v>4138</v>
      </c>
      <c r="M560" s="67" t="s">
        <v>4139</v>
      </c>
      <c r="N560" s="67" t="s">
        <v>4139</v>
      </c>
      <c r="O560" s="67" t="s">
        <v>165</v>
      </c>
      <c r="P560" s="67" t="s">
        <v>4140</v>
      </c>
    </row>
    <row r="561" s="43" customFormat="1" customHeight="1" spans="1:16">
      <c r="A561" s="67" t="s">
        <v>4141</v>
      </c>
      <c r="B561" s="67">
        <v>42.65</v>
      </c>
      <c r="C561" s="67">
        <v>5</v>
      </c>
      <c r="D561" s="67" t="s">
        <v>3303</v>
      </c>
      <c r="E561" s="67" t="s">
        <v>3304</v>
      </c>
      <c r="F561" s="67" t="s">
        <v>12</v>
      </c>
      <c r="G561" s="67" t="s">
        <v>4142</v>
      </c>
      <c r="H561" s="67" t="s">
        <v>4143</v>
      </c>
      <c r="I561" s="67" t="s">
        <v>161</v>
      </c>
      <c r="J561" s="67" t="s">
        <v>161</v>
      </c>
      <c r="K561" s="67" t="s">
        <v>161</v>
      </c>
      <c r="L561" s="67" t="s">
        <v>4144</v>
      </c>
      <c r="M561" s="67" t="s">
        <v>4145</v>
      </c>
      <c r="N561" s="67" t="s">
        <v>4145</v>
      </c>
      <c r="O561" s="67" t="s">
        <v>165</v>
      </c>
      <c r="P561" s="67" t="s">
        <v>4146</v>
      </c>
    </row>
    <row r="562" s="43" customFormat="1" customHeight="1" spans="1:16">
      <c r="A562" s="67" t="s">
        <v>4147</v>
      </c>
      <c r="B562" s="67">
        <v>71.55</v>
      </c>
      <c r="C562" s="67">
        <v>6</v>
      </c>
      <c r="D562" s="67" t="s">
        <v>4148</v>
      </c>
      <c r="E562" s="67" t="s">
        <v>4149</v>
      </c>
      <c r="F562" s="67" t="s">
        <v>12</v>
      </c>
      <c r="G562" s="67" t="s">
        <v>4150</v>
      </c>
      <c r="H562" s="67" t="s">
        <v>4151</v>
      </c>
      <c r="I562" s="67" t="s">
        <v>161</v>
      </c>
      <c r="J562" s="67" t="s">
        <v>161</v>
      </c>
      <c r="K562" s="67" t="s">
        <v>161</v>
      </c>
      <c r="L562" s="67" t="s">
        <v>4152</v>
      </c>
      <c r="M562" s="67" t="s">
        <v>4153</v>
      </c>
      <c r="N562" s="67" t="s">
        <v>4153</v>
      </c>
      <c r="O562" s="67" t="s">
        <v>165</v>
      </c>
      <c r="P562" s="67" t="s">
        <v>4154</v>
      </c>
    </row>
    <row r="563" s="43" customFormat="1" customHeight="1" spans="1:16">
      <c r="A563" s="67" t="s">
        <v>4155</v>
      </c>
      <c r="B563" s="67">
        <v>35.7</v>
      </c>
      <c r="C563" s="67">
        <v>4</v>
      </c>
      <c r="D563" s="67" t="s">
        <v>3319</v>
      </c>
      <c r="E563" s="67" t="s">
        <v>4156</v>
      </c>
      <c r="F563" s="67" t="s">
        <v>12</v>
      </c>
      <c r="G563" s="67" t="s">
        <v>4157</v>
      </c>
      <c r="H563" s="67" t="s">
        <v>4158</v>
      </c>
      <c r="I563" s="67" t="s">
        <v>161</v>
      </c>
      <c r="J563" s="67" t="s">
        <v>161</v>
      </c>
      <c r="K563" s="67" t="s">
        <v>161</v>
      </c>
      <c r="L563" s="67" t="s">
        <v>4159</v>
      </c>
      <c r="M563" s="67" t="s">
        <v>4160</v>
      </c>
      <c r="N563" s="67" t="s">
        <v>4160</v>
      </c>
      <c r="O563" s="67" t="s">
        <v>165</v>
      </c>
      <c r="P563" s="67" t="s">
        <v>4161</v>
      </c>
    </row>
    <row r="564" s="43" customFormat="1" hidden="1" customHeight="1" spans="1:16">
      <c r="A564" s="67" t="s">
        <v>4162</v>
      </c>
      <c r="B564" s="67">
        <v>59.65</v>
      </c>
      <c r="C564" s="67">
        <v>6</v>
      </c>
      <c r="D564" s="67" t="s">
        <v>4163</v>
      </c>
      <c r="E564" s="67" t="s">
        <v>4164</v>
      </c>
      <c r="F564" s="67" t="s">
        <v>12</v>
      </c>
      <c r="G564" s="67" t="s">
        <v>4165</v>
      </c>
      <c r="H564" s="67" t="s">
        <v>4166</v>
      </c>
      <c r="I564" s="67" t="s">
        <v>161</v>
      </c>
      <c r="J564" s="67" t="s">
        <v>161</v>
      </c>
      <c r="K564" s="67" t="s">
        <v>161</v>
      </c>
      <c r="L564" s="67" t="s">
        <v>4167</v>
      </c>
      <c r="M564" s="67" t="s">
        <v>4168</v>
      </c>
      <c r="N564" s="67" t="s">
        <v>4168</v>
      </c>
      <c r="O564" s="67" t="s">
        <v>165</v>
      </c>
      <c r="P564" s="67" t="s">
        <v>4169</v>
      </c>
    </row>
    <row r="565" s="43" customFormat="1" hidden="1" customHeight="1" spans="1:16">
      <c r="A565" s="67" t="s">
        <v>4170</v>
      </c>
      <c r="B565" s="67">
        <v>47.8</v>
      </c>
      <c r="C565" s="67">
        <v>4</v>
      </c>
      <c r="D565" s="67" t="s">
        <v>4171</v>
      </c>
      <c r="E565" s="67" t="s">
        <v>4172</v>
      </c>
      <c r="F565" s="67" t="s">
        <v>12</v>
      </c>
      <c r="G565" s="67" t="s">
        <v>4173</v>
      </c>
      <c r="H565" s="67" t="s">
        <v>4174</v>
      </c>
      <c r="I565" s="67" t="s">
        <v>161</v>
      </c>
      <c r="J565" s="67" t="s">
        <v>161</v>
      </c>
      <c r="K565" s="67" t="s">
        <v>161</v>
      </c>
      <c r="L565" s="67" t="s">
        <v>4175</v>
      </c>
      <c r="M565" s="67" t="s">
        <v>4176</v>
      </c>
      <c r="N565" s="67" t="s">
        <v>4176</v>
      </c>
      <c r="O565" s="67" t="s">
        <v>165</v>
      </c>
      <c r="P565" s="67" t="s">
        <v>4177</v>
      </c>
    </row>
    <row r="566" s="43" customFormat="1" hidden="1" customHeight="1" spans="1:16">
      <c r="A566" s="67" t="s">
        <v>4178</v>
      </c>
      <c r="B566" s="67">
        <v>59.65</v>
      </c>
      <c r="C566" s="67">
        <v>6</v>
      </c>
      <c r="D566" s="67" t="s">
        <v>4179</v>
      </c>
      <c r="E566" s="67" t="s">
        <v>4180</v>
      </c>
      <c r="F566" s="67" t="s">
        <v>12</v>
      </c>
      <c r="G566" s="67" t="s">
        <v>4181</v>
      </c>
      <c r="H566" s="67" t="s">
        <v>4182</v>
      </c>
      <c r="I566" s="67" t="s">
        <v>161</v>
      </c>
      <c r="J566" s="67" t="s">
        <v>161</v>
      </c>
      <c r="K566" s="67" t="s">
        <v>161</v>
      </c>
      <c r="L566" s="67" t="s">
        <v>4183</v>
      </c>
      <c r="M566" s="67" t="s">
        <v>4184</v>
      </c>
      <c r="N566" s="67" t="s">
        <v>4184</v>
      </c>
      <c r="O566" s="67" t="s">
        <v>165</v>
      </c>
      <c r="P566" s="67" t="s">
        <v>4185</v>
      </c>
    </row>
    <row r="567" s="43" customFormat="1" customHeight="1" spans="1:16">
      <c r="A567" s="67" t="s">
        <v>4186</v>
      </c>
      <c r="B567" s="67">
        <v>0</v>
      </c>
      <c r="C567" s="67">
        <v>2</v>
      </c>
      <c r="D567" s="67" t="s">
        <v>4187</v>
      </c>
      <c r="E567" s="67" t="s">
        <v>3458</v>
      </c>
      <c r="F567" s="67" t="s">
        <v>12</v>
      </c>
      <c r="G567" s="67" t="s">
        <v>4188</v>
      </c>
      <c r="H567" s="67" t="s">
        <v>4189</v>
      </c>
      <c r="I567" s="67" t="s">
        <v>161</v>
      </c>
      <c r="J567" s="67" t="s">
        <v>4190</v>
      </c>
      <c r="K567" s="67" t="s">
        <v>161</v>
      </c>
      <c r="L567" s="67" t="s">
        <v>4191</v>
      </c>
      <c r="M567" s="67" t="s">
        <v>4192</v>
      </c>
      <c r="N567" s="67" t="s">
        <v>4192</v>
      </c>
      <c r="O567" s="67" t="s">
        <v>165</v>
      </c>
      <c r="P567" s="67" t="s">
        <v>4193</v>
      </c>
    </row>
    <row r="568" s="43" customFormat="1" hidden="1" customHeight="1" spans="1:16">
      <c r="A568" s="67" t="s">
        <v>4194</v>
      </c>
      <c r="B568" s="67">
        <v>30.85</v>
      </c>
      <c r="C568" s="67">
        <v>3</v>
      </c>
      <c r="D568" s="67" t="s">
        <v>4195</v>
      </c>
      <c r="E568" s="67" t="s">
        <v>4196</v>
      </c>
      <c r="F568" s="67" t="s">
        <v>12</v>
      </c>
      <c r="G568" s="67" t="s">
        <v>4197</v>
      </c>
      <c r="H568" s="67" t="s">
        <v>4198</v>
      </c>
      <c r="I568" s="67" t="s">
        <v>161</v>
      </c>
      <c r="J568" s="67" t="s">
        <v>161</v>
      </c>
      <c r="K568" s="67" t="s">
        <v>161</v>
      </c>
      <c r="L568" s="67" t="s">
        <v>4199</v>
      </c>
      <c r="M568" s="67" t="s">
        <v>4200</v>
      </c>
      <c r="N568" s="67" t="s">
        <v>4200</v>
      </c>
      <c r="O568" s="67" t="s">
        <v>165</v>
      </c>
      <c r="P568" s="67" t="s">
        <v>4201</v>
      </c>
    </row>
    <row r="569" s="43" customFormat="1" hidden="1" customHeight="1" spans="1:16">
      <c r="A569" s="67" t="s">
        <v>4202</v>
      </c>
      <c r="B569" s="67">
        <v>26.89</v>
      </c>
      <c r="C569" s="67">
        <v>2</v>
      </c>
      <c r="D569" s="67" t="s">
        <v>3581</v>
      </c>
      <c r="E569" s="67" t="s">
        <v>3582</v>
      </c>
      <c r="F569" s="67" t="s">
        <v>12</v>
      </c>
      <c r="G569" s="67" t="s">
        <v>4203</v>
      </c>
      <c r="H569" s="67" t="s">
        <v>4204</v>
      </c>
      <c r="I569" s="67" t="s">
        <v>161</v>
      </c>
      <c r="J569" s="67" t="s">
        <v>161</v>
      </c>
      <c r="K569" s="67" t="s">
        <v>4205</v>
      </c>
      <c r="L569" s="67" t="s">
        <v>4206</v>
      </c>
      <c r="M569" s="67" t="s">
        <v>4207</v>
      </c>
      <c r="N569" s="67" t="s">
        <v>4207</v>
      </c>
      <c r="O569" s="67" t="s">
        <v>165</v>
      </c>
      <c r="P569" s="67" t="s">
        <v>4208</v>
      </c>
    </row>
    <row r="570" s="43" customFormat="1" hidden="1" customHeight="1" spans="1:16">
      <c r="A570" s="67" t="s">
        <v>4209</v>
      </c>
      <c r="B570" s="67">
        <v>17.96</v>
      </c>
      <c r="C570" s="67">
        <v>4</v>
      </c>
      <c r="D570" s="67" t="s">
        <v>4210</v>
      </c>
      <c r="E570" s="67" t="s">
        <v>4211</v>
      </c>
      <c r="F570" s="67" t="s">
        <v>12</v>
      </c>
      <c r="G570" s="67" t="s">
        <v>870</v>
      </c>
      <c r="H570" s="67" t="s">
        <v>4212</v>
      </c>
      <c r="I570" s="67" t="s">
        <v>161</v>
      </c>
      <c r="J570" s="67" t="s">
        <v>649</v>
      </c>
      <c r="K570" s="67" t="s">
        <v>161</v>
      </c>
      <c r="L570" s="67" t="s">
        <v>4213</v>
      </c>
      <c r="M570" s="67" t="s">
        <v>4214</v>
      </c>
      <c r="N570" s="67" t="s">
        <v>4214</v>
      </c>
      <c r="O570" s="67" t="s">
        <v>165</v>
      </c>
      <c r="P570" s="67" t="s">
        <v>4215</v>
      </c>
    </row>
    <row r="571" s="43" customFormat="1" hidden="1" customHeight="1" spans="1:16">
      <c r="A571" s="67" t="s">
        <v>4216</v>
      </c>
      <c r="B571" s="67">
        <v>64.55</v>
      </c>
      <c r="C571" s="67">
        <v>7</v>
      </c>
      <c r="D571" s="67" t="s">
        <v>4217</v>
      </c>
      <c r="E571" s="67" t="s">
        <v>4218</v>
      </c>
      <c r="F571" s="67" t="s">
        <v>12</v>
      </c>
      <c r="G571" s="67" t="s">
        <v>4219</v>
      </c>
      <c r="H571" s="67" t="s">
        <v>4220</v>
      </c>
      <c r="I571" s="67" t="s">
        <v>161</v>
      </c>
      <c r="J571" s="67" t="s">
        <v>649</v>
      </c>
      <c r="K571" s="67" t="s">
        <v>161</v>
      </c>
      <c r="L571" s="67" t="s">
        <v>4221</v>
      </c>
      <c r="M571" s="67" t="s">
        <v>4222</v>
      </c>
      <c r="N571" s="67" t="s">
        <v>4222</v>
      </c>
      <c r="O571" s="67" t="s">
        <v>165</v>
      </c>
      <c r="P571" s="67" t="s">
        <v>4223</v>
      </c>
    </row>
    <row r="572" s="43" customFormat="1" hidden="1" customHeight="1" spans="1:16">
      <c r="A572" s="67" t="s">
        <v>4224</v>
      </c>
      <c r="B572" s="67">
        <v>47.8</v>
      </c>
      <c r="C572" s="67">
        <v>4</v>
      </c>
      <c r="D572" s="67" t="s">
        <v>4225</v>
      </c>
      <c r="E572" s="67" t="s">
        <v>4226</v>
      </c>
      <c r="F572" s="67" t="s">
        <v>12</v>
      </c>
      <c r="G572" s="67" t="s">
        <v>4227</v>
      </c>
      <c r="H572" s="67" t="s">
        <v>4228</v>
      </c>
      <c r="I572" s="67" t="s">
        <v>161</v>
      </c>
      <c r="J572" s="67" t="s">
        <v>649</v>
      </c>
      <c r="K572" s="67" t="s">
        <v>161</v>
      </c>
      <c r="L572" s="67" t="s">
        <v>4229</v>
      </c>
      <c r="M572" s="67" t="s">
        <v>4230</v>
      </c>
      <c r="N572" s="67" t="s">
        <v>4230</v>
      </c>
      <c r="O572" s="67" t="s">
        <v>165</v>
      </c>
      <c r="P572" s="67" t="s">
        <v>4231</v>
      </c>
    </row>
    <row r="573" s="43" customFormat="1" customHeight="1" spans="1:16">
      <c r="A573" s="67" t="s">
        <v>4232</v>
      </c>
      <c r="B573" s="67">
        <v>30.8</v>
      </c>
      <c r="C573" s="67">
        <v>3</v>
      </c>
      <c r="D573" s="67" t="s">
        <v>4233</v>
      </c>
      <c r="E573" s="67" t="s">
        <v>4234</v>
      </c>
      <c r="F573" s="67" t="s">
        <v>12</v>
      </c>
      <c r="G573" s="67" t="s">
        <v>4235</v>
      </c>
      <c r="H573" s="67" t="s">
        <v>4236</v>
      </c>
      <c r="I573" s="67" t="s">
        <v>161</v>
      </c>
      <c r="J573" s="67" t="s">
        <v>161</v>
      </c>
      <c r="K573" s="67" t="s">
        <v>161</v>
      </c>
      <c r="L573" s="67" t="s">
        <v>4237</v>
      </c>
      <c r="M573" s="67" t="s">
        <v>4238</v>
      </c>
      <c r="N573" s="67" t="s">
        <v>4238</v>
      </c>
      <c r="O573" s="67" t="s">
        <v>165</v>
      </c>
      <c r="P573" s="67" t="s">
        <v>4239</v>
      </c>
    </row>
    <row r="574" s="43" customFormat="1" hidden="1" customHeight="1" spans="1:16">
      <c r="A574" s="67" t="s">
        <v>4240</v>
      </c>
      <c r="B574" s="67">
        <v>32.39</v>
      </c>
      <c r="C574" s="67">
        <v>3</v>
      </c>
      <c r="D574" s="67" t="s">
        <v>3368</v>
      </c>
      <c r="E574" s="67" t="s">
        <v>3369</v>
      </c>
      <c r="F574" s="67" t="s">
        <v>12</v>
      </c>
      <c r="G574" s="67" t="s">
        <v>4241</v>
      </c>
      <c r="H574" s="67" t="s">
        <v>4242</v>
      </c>
      <c r="I574" s="67" t="s">
        <v>161</v>
      </c>
      <c r="J574" s="67" t="s">
        <v>649</v>
      </c>
      <c r="K574" s="67" t="s">
        <v>161</v>
      </c>
      <c r="L574" s="67" t="s">
        <v>4243</v>
      </c>
      <c r="M574" s="67" t="s">
        <v>4244</v>
      </c>
      <c r="N574" s="67" t="s">
        <v>4244</v>
      </c>
      <c r="O574" s="67" t="s">
        <v>165</v>
      </c>
      <c r="P574" s="67" t="s">
        <v>4245</v>
      </c>
    </row>
    <row r="575" s="43" customFormat="1" customHeight="1" spans="1:16">
      <c r="A575" s="67" t="s">
        <v>4246</v>
      </c>
      <c r="B575" s="67">
        <v>61.6</v>
      </c>
      <c r="C575" s="67">
        <v>6</v>
      </c>
      <c r="D575" s="67" t="s">
        <v>4247</v>
      </c>
      <c r="E575" s="67" t="s">
        <v>4248</v>
      </c>
      <c r="F575" s="67" t="s">
        <v>12</v>
      </c>
      <c r="G575" s="67" t="s">
        <v>4249</v>
      </c>
      <c r="H575" s="67" t="s">
        <v>4250</v>
      </c>
      <c r="I575" s="67" t="s">
        <v>161</v>
      </c>
      <c r="J575" s="67" t="s">
        <v>161</v>
      </c>
      <c r="K575" s="67" t="s">
        <v>161</v>
      </c>
      <c r="L575" s="67" t="s">
        <v>4251</v>
      </c>
      <c r="M575" s="67" t="s">
        <v>4252</v>
      </c>
      <c r="N575" s="67" t="s">
        <v>4252</v>
      </c>
      <c r="O575" s="67" t="s">
        <v>165</v>
      </c>
      <c r="P575" s="67" t="s">
        <v>4253</v>
      </c>
    </row>
    <row r="576" s="43" customFormat="1" hidden="1" customHeight="1" spans="1:16">
      <c r="A576" s="67" t="s">
        <v>4254</v>
      </c>
      <c r="B576" s="67">
        <v>52.7</v>
      </c>
      <c r="C576" s="67">
        <v>5</v>
      </c>
      <c r="D576" s="67" t="s">
        <v>4255</v>
      </c>
      <c r="E576" s="67" t="s">
        <v>4256</v>
      </c>
      <c r="F576" s="67" t="s">
        <v>12</v>
      </c>
      <c r="G576" s="67" t="s">
        <v>4257</v>
      </c>
      <c r="H576" s="67" t="s">
        <v>4258</v>
      </c>
      <c r="I576" s="67" t="s">
        <v>161</v>
      </c>
      <c r="J576" s="67" t="s">
        <v>649</v>
      </c>
      <c r="K576" s="67" t="s">
        <v>161</v>
      </c>
      <c r="L576" s="67" t="s">
        <v>4259</v>
      </c>
      <c r="M576" s="67" t="s">
        <v>4260</v>
      </c>
      <c r="N576" s="67" t="s">
        <v>4260</v>
      </c>
      <c r="O576" s="67" t="s">
        <v>165</v>
      </c>
      <c r="P576" s="67" t="s">
        <v>4261</v>
      </c>
    </row>
    <row r="577" s="43" customFormat="1" hidden="1" customHeight="1" spans="1:16">
      <c r="A577" s="67" t="s">
        <v>4262</v>
      </c>
      <c r="B577" s="67">
        <v>26.89</v>
      </c>
      <c r="C577" s="67">
        <v>2</v>
      </c>
      <c r="D577" s="67" t="s">
        <v>3629</v>
      </c>
      <c r="E577" s="67" t="s">
        <v>3630</v>
      </c>
      <c r="F577" s="67" t="s">
        <v>12</v>
      </c>
      <c r="G577" s="67" t="s">
        <v>4263</v>
      </c>
      <c r="H577" s="67" t="s">
        <v>4264</v>
      </c>
      <c r="I577" s="67" t="s">
        <v>161</v>
      </c>
      <c r="J577" s="67" t="s">
        <v>649</v>
      </c>
      <c r="K577" s="67" t="s">
        <v>161</v>
      </c>
      <c r="L577" s="67" t="s">
        <v>4265</v>
      </c>
      <c r="M577" s="67" t="s">
        <v>4266</v>
      </c>
      <c r="N577" s="67" t="s">
        <v>4266</v>
      </c>
      <c r="O577" s="67" t="s">
        <v>165</v>
      </c>
      <c r="P577" s="67" t="s">
        <v>4267</v>
      </c>
    </row>
    <row r="578" s="43" customFormat="1" hidden="1" customHeight="1" spans="1:16">
      <c r="A578" s="67" t="s">
        <v>4268</v>
      </c>
      <c r="B578" s="67">
        <v>11.89</v>
      </c>
      <c r="C578" s="67">
        <v>2</v>
      </c>
      <c r="D578" s="67" t="s">
        <v>4106</v>
      </c>
      <c r="E578" s="67" t="s">
        <v>3654</v>
      </c>
      <c r="F578" s="67" t="s">
        <v>12</v>
      </c>
      <c r="G578" s="67" t="s">
        <v>4269</v>
      </c>
      <c r="H578" s="67" t="s">
        <v>4270</v>
      </c>
      <c r="I578" s="67" t="s">
        <v>161</v>
      </c>
      <c r="J578" s="67" t="s">
        <v>649</v>
      </c>
      <c r="K578" s="67" t="s">
        <v>161</v>
      </c>
      <c r="L578" s="67" t="s">
        <v>4271</v>
      </c>
      <c r="M578" s="67" t="s">
        <v>4272</v>
      </c>
      <c r="N578" s="67" t="s">
        <v>4272</v>
      </c>
      <c r="O578" s="67" t="s">
        <v>165</v>
      </c>
      <c r="P578" s="67" t="s">
        <v>4273</v>
      </c>
    </row>
    <row r="579" s="43" customFormat="1" hidden="1" customHeight="1" spans="1:16">
      <c r="A579" s="67" t="s">
        <v>4274</v>
      </c>
      <c r="B579" s="67">
        <v>11.89</v>
      </c>
      <c r="C579" s="67">
        <v>2</v>
      </c>
      <c r="D579" s="67" t="s">
        <v>4106</v>
      </c>
      <c r="E579" s="67" t="s">
        <v>3654</v>
      </c>
      <c r="F579" s="67" t="s">
        <v>12</v>
      </c>
      <c r="G579" s="67" t="s">
        <v>4269</v>
      </c>
      <c r="H579" s="67" t="s">
        <v>4275</v>
      </c>
      <c r="I579" s="67" t="s">
        <v>161</v>
      </c>
      <c r="J579" s="67" t="s">
        <v>649</v>
      </c>
      <c r="K579" s="67" t="s">
        <v>161</v>
      </c>
      <c r="L579" s="67" t="s">
        <v>4271</v>
      </c>
      <c r="M579" s="67" t="s">
        <v>4276</v>
      </c>
      <c r="N579" s="67" t="s">
        <v>4276</v>
      </c>
      <c r="O579" s="67" t="s">
        <v>165</v>
      </c>
      <c r="P579" s="67" t="s">
        <v>4277</v>
      </c>
    </row>
    <row r="580" s="43" customFormat="1" hidden="1" customHeight="1" spans="1:16">
      <c r="A580" s="67" t="s">
        <v>4278</v>
      </c>
      <c r="B580" s="67">
        <v>11.89</v>
      </c>
      <c r="C580" s="67">
        <v>2</v>
      </c>
      <c r="D580" s="67" t="s">
        <v>4106</v>
      </c>
      <c r="E580" s="67" t="s">
        <v>3654</v>
      </c>
      <c r="F580" s="67" t="s">
        <v>12</v>
      </c>
      <c r="G580" s="67" t="s">
        <v>4269</v>
      </c>
      <c r="H580" s="67" t="s">
        <v>4279</v>
      </c>
      <c r="I580" s="67" t="s">
        <v>161</v>
      </c>
      <c r="J580" s="67" t="s">
        <v>649</v>
      </c>
      <c r="K580" s="67" t="s">
        <v>161</v>
      </c>
      <c r="L580" s="67" t="s">
        <v>4271</v>
      </c>
      <c r="M580" s="67" t="s">
        <v>4280</v>
      </c>
      <c r="N580" s="67" t="s">
        <v>4280</v>
      </c>
      <c r="O580" s="67" t="s">
        <v>165</v>
      </c>
      <c r="P580" s="67" t="s">
        <v>4281</v>
      </c>
    </row>
    <row r="581" s="43" customFormat="1" hidden="1" customHeight="1" spans="1:16">
      <c r="A581" s="67" t="s">
        <v>4282</v>
      </c>
      <c r="B581" s="67">
        <v>11.89</v>
      </c>
      <c r="C581" s="67">
        <v>2</v>
      </c>
      <c r="D581" s="67" t="s">
        <v>4106</v>
      </c>
      <c r="E581" s="67" t="s">
        <v>3654</v>
      </c>
      <c r="F581" s="67" t="s">
        <v>12</v>
      </c>
      <c r="G581" s="67" t="s">
        <v>4269</v>
      </c>
      <c r="H581" s="67" t="s">
        <v>4283</v>
      </c>
      <c r="I581" s="67" t="s">
        <v>161</v>
      </c>
      <c r="J581" s="67" t="s">
        <v>649</v>
      </c>
      <c r="K581" s="67" t="s">
        <v>161</v>
      </c>
      <c r="L581" s="67" t="s">
        <v>4271</v>
      </c>
      <c r="M581" s="67" t="s">
        <v>4284</v>
      </c>
      <c r="N581" s="67" t="s">
        <v>4284</v>
      </c>
      <c r="O581" s="67" t="s">
        <v>165</v>
      </c>
      <c r="P581" s="67" t="s">
        <v>4285</v>
      </c>
    </row>
    <row r="582" s="43" customFormat="1" hidden="1" customHeight="1" spans="1:16">
      <c r="A582" s="67" t="s">
        <v>4286</v>
      </c>
      <c r="B582" s="67">
        <v>35.75</v>
      </c>
      <c r="C582" s="67">
        <v>4</v>
      </c>
      <c r="D582" s="67" t="s">
        <v>3376</v>
      </c>
      <c r="E582" s="67" t="s">
        <v>3377</v>
      </c>
      <c r="F582" s="67" t="s">
        <v>12</v>
      </c>
      <c r="G582" s="67" t="s">
        <v>4287</v>
      </c>
      <c r="H582" s="67" t="s">
        <v>4288</v>
      </c>
      <c r="I582" s="67" t="s">
        <v>161</v>
      </c>
      <c r="J582" s="67" t="s">
        <v>649</v>
      </c>
      <c r="K582" s="67" t="s">
        <v>161</v>
      </c>
      <c r="L582" s="67" t="s">
        <v>4289</v>
      </c>
      <c r="M582" s="67" t="s">
        <v>4290</v>
      </c>
      <c r="N582" s="67" t="s">
        <v>4290</v>
      </c>
      <c r="O582" s="67" t="s">
        <v>165</v>
      </c>
      <c r="P582" s="67" t="s">
        <v>4291</v>
      </c>
    </row>
    <row r="583" s="43" customFormat="1" hidden="1" customHeight="1" spans="1:16">
      <c r="A583" s="67" t="s">
        <v>4292</v>
      </c>
      <c r="B583" s="67">
        <v>26.89</v>
      </c>
      <c r="C583" s="67">
        <v>2</v>
      </c>
      <c r="D583" s="67" t="s">
        <v>3262</v>
      </c>
      <c r="E583" s="67" t="s">
        <v>3263</v>
      </c>
      <c r="F583" s="67" t="s">
        <v>12</v>
      </c>
      <c r="G583" s="67" t="s">
        <v>4293</v>
      </c>
      <c r="H583" s="67" t="s">
        <v>4294</v>
      </c>
      <c r="I583" s="67" t="s">
        <v>161</v>
      </c>
      <c r="J583" s="67" t="s">
        <v>649</v>
      </c>
      <c r="K583" s="67" t="s">
        <v>161</v>
      </c>
      <c r="L583" s="67" t="s">
        <v>4295</v>
      </c>
      <c r="M583" s="67" t="s">
        <v>4296</v>
      </c>
      <c r="N583" s="67" t="s">
        <v>4296</v>
      </c>
      <c r="O583" s="67" t="s">
        <v>165</v>
      </c>
      <c r="P583" s="67" t="s">
        <v>4297</v>
      </c>
    </row>
    <row r="584" s="43" customFormat="1" hidden="1" customHeight="1" spans="1:16">
      <c r="A584" s="67" t="s">
        <v>4298</v>
      </c>
      <c r="B584" s="67">
        <v>30.85</v>
      </c>
      <c r="C584" s="67">
        <v>3</v>
      </c>
      <c r="D584" s="67" t="s">
        <v>3368</v>
      </c>
      <c r="E584" s="67" t="s">
        <v>3369</v>
      </c>
      <c r="F584" s="67" t="s">
        <v>12</v>
      </c>
      <c r="G584" s="67" t="s">
        <v>4299</v>
      </c>
      <c r="H584" s="67" t="s">
        <v>4300</v>
      </c>
      <c r="I584" s="67" t="s">
        <v>161</v>
      </c>
      <c r="J584" s="67" t="s">
        <v>649</v>
      </c>
      <c r="K584" s="67" t="s">
        <v>161</v>
      </c>
      <c r="L584" s="67" t="s">
        <v>4301</v>
      </c>
      <c r="M584" s="67" t="s">
        <v>4302</v>
      </c>
      <c r="N584" s="67" t="s">
        <v>4302</v>
      </c>
      <c r="O584" s="67" t="s">
        <v>165</v>
      </c>
      <c r="P584" s="67" t="s">
        <v>4303</v>
      </c>
    </row>
    <row r="585" s="43" customFormat="1" hidden="1" customHeight="1" spans="1:16">
      <c r="A585" s="67" t="s">
        <v>4304</v>
      </c>
      <c r="B585" s="67">
        <v>30.85</v>
      </c>
      <c r="C585" s="67">
        <v>3</v>
      </c>
      <c r="D585" s="67" t="s">
        <v>3368</v>
      </c>
      <c r="E585" s="67" t="s">
        <v>3369</v>
      </c>
      <c r="F585" s="67" t="s">
        <v>12</v>
      </c>
      <c r="G585" s="67" t="s">
        <v>4305</v>
      </c>
      <c r="H585" s="67" t="s">
        <v>4306</v>
      </c>
      <c r="I585" s="67" t="s">
        <v>161</v>
      </c>
      <c r="J585" s="67" t="s">
        <v>649</v>
      </c>
      <c r="K585" s="67" t="s">
        <v>161</v>
      </c>
      <c r="L585" s="67" t="s">
        <v>4307</v>
      </c>
      <c r="M585" s="67" t="s">
        <v>4308</v>
      </c>
      <c r="N585" s="67" t="s">
        <v>4308</v>
      </c>
      <c r="O585" s="67" t="s">
        <v>165</v>
      </c>
      <c r="P585" s="67" t="s">
        <v>4309</v>
      </c>
    </row>
    <row r="586" s="43" customFormat="1" hidden="1" customHeight="1" spans="1:16">
      <c r="A586" s="67" t="s">
        <v>4310</v>
      </c>
      <c r="B586" s="67">
        <v>47.8</v>
      </c>
      <c r="C586" s="67">
        <v>4</v>
      </c>
      <c r="D586" s="67" t="s">
        <v>4311</v>
      </c>
      <c r="E586" s="67" t="s">
        <v>4312</v>
      </c>
      <c r="F586" s="67" t="s">
        <v>12</v>
      </c>
      <c r="G586" s="67" t="s">
        <v>4313</v>
      </c>
      <c r="H586" s="67" t="s">
        <v>4314</v>
      </c>
      <c r="I586" s="67" t="s">
        <v>161</v>
      </c>
      <c r="J586" s="67" t="s">
        <v>649</v>
      </c>
      <c r="K586" s="67" t="s">
        <v>161</v>
      </c>
      <c r="L586" s="67" t="s">
        <v>4315</v>
      </c>
      <c r="M586" s="67" t="s">
        <v>4316</v>
      </c>
      <c r="N586" s="67" t="s">
        <v>4316</v>
      </c>
      <c r="O586" s="67" t="s">
        <v>165</v>
      </c>
      <c r="P586" s="67" t="s">
        <v>4317</v>
      </c>
    </row>
    <row r="587" s="43" customFormat="1" hidden="1" customHeight="1" spans="1:16">
      <c r="A587" s="67" t="s">
        <v>4318</v>
      </c>
      <c r="B587" s="67">
        <v>26.89</v>
      </c>
      <c r="C587" s="67">
        <v>2</v>
      </c>
      <c r="D587" s="67" t="s">
        <v>3262</v>
      </c>
      <c r="E587" s="67" t="s">
        <v>3263</v>
      </c>
      <c r="F587" s="67" t="s">
        <v>12</v>
      </c>
      <c r="G587" s="67" t="s">
        <v>4319</v>
      </c>
      <c r="H587" s="67" t="s">
        <v>4320</v>
      </c>
      <c r="I587" s="67" t="s">
        <v>161</v>
      </c>
      <c r="J587" s="67" t="s">
        <v>649</v>
      </c>
      <c r="K587" s="67" t="s">
        <v>161</v>
      </c>
      <c r="L587" s="67" t="s">
        <v>4321</v>
      </c>
      <c r="M587" s="67" t="s">
        <v>4322</v>
      </c>
      <c r="N587" s="67" t="s">
        <v>4322</v>
      </c>
      <c r="O587" s="67" t="s">
        <v>165</v>
      </c>
      <c r="P587" s="67" t="s">
        <v>4323</v>
      </c>
    </row>
    <row r="588" s="43" customFormat="1" hidden="1" customHeight="1" spans="1:16">
      <c r="A588" s="67" t="s">
        <v>4324</v>
      </c>
      <c r="B588" s="67">
        <v>54.75</v>
      </c>
      <c r="C588" s="67">
        <v>5</v>
      </c>
      <c r="D588" s="67" t="s">
        <v>4325</v>
      </c>
      <c r="E588" s="67" t="s">
        <v>4326</v>
      </c>
      <c r="F588" s="67" t="s">
        <v>12</v>
      </c>
      <c r="G588" s="67" t="s">
        <v>4327</v>
      </c>
      <c r="H588" s="67" t="s">
        <v>4328</v>
      </c>
      <c r="I588" s="67" t="s">
        <v>161</v>
      </c>
      <c r="J588" s="67" t="s">
        <v>649</v>
      </c>
      <c r="K588" s="67" t="s">
        <v>161</v>
      </c>
      <c r="L588" s="67" t="s">
        <v>4329</v>
      </c>
      <c r="M588" s="67" t="s">
        <v>4330</v>
      </c>
      <c r="N588" s="67" t="s">
        <v>4330</v>
      </c>
      <c r="O588" s="67" t="s">
        <v>165</v>
      </c>
      <c r="P588" s="67" t="s">
        <v>4331</v>
      </c>
    </row>
    <row r="589" s="43" customFormat="1" hidden="1" customHeight="1" spans="1:16">
      <c r="A589" s="67" t="s">
        <v>4332</v>
      </c>
      <c r="B589" s="67">
        <v>57.6</v>
      </c>
      <c r="C589" s="67">
        <v>6</v>
      </c>
      <c r="D589" s="67" t="s">
        <v>4333</v>
      </c>
      <c r="E589" s="67" t="s">
        <v>4334</v>
      </c>
      <c r="F589" s="67" t="s">
        <v>12</v>
      </c>
      <c r="G589" s="67" t="s">
        <v>4335</v>
      </c>
      <c r="H589" s="67" t="s">
        <v>4336</v>
      </c>
      <c r="I589" s="67" t="s">
        <v>161</v>
      </c>
      <c r="J589" s="67" t="s">
        <v>649</v>
      </c>
      <c r="K589" s="67" t="s">
        <v>161</v>
      </c>
      <c r="L589" s="67" t="s">
        <v>4337</v>
      </c>
      <c r="M589" s="67" t="s">
        <v>4338</v>
      </c>
      <c r="N589" s="67" t="s">
        <v>4338</v>
      </c>
      <c r="O589" s="67" t="s">
        <v>165</v>
      </c>
      <c r="P589" s="67" t="s">
        <v>4339</v>
      </c>
    </row>
    <row r="590" s="43" customFormat="1" customHeight="1" spans="1:16">
      <c r="A590" s="67" t="s">
        <v>4340</v>
      </c>
      <c r="B590" s="67">
        <v>61.6</v>
      </c>
      <c r="C590" s="67">
        <v>7</v>
      </c>
      <c r="D590" s="67" t="s">
        <v>3279</v>
      </c>
      <c r="E590" s="67" t="s">
        <v>4341</v>
      </c>
      <c r="F590" s="67" t="s">
        <v>12</v>
      </c>
      <c r="G590" s="67" t="s">
        <v>4342</v>
      </c>
      <c r="H590" s="67" t="s">
        <v>4343</v>
      </c>
      <c r="I590" s="67" t="s">
        <v>161</v>
      </c>
      <c r="J590" s="67" t="s">
        <v>161</v>
      </c>
      <c r="K590" s="67" t="s">
        <v>161</v>
      </c>
      <c r="L590" s="67" t="s">
        <v>4344</v>
      </c>
      <c r="M590" s="67" t="s">
        <v>4345</v>
      </c>
      <c r="N590" s="67" t="s">
        <v>4345</v>
      </c>
      <c r="O590" s="67" t="s">
        <v>165</v>
      </c>
      <c r="P590" s="67" t="s">
        <v>4346</v>
      </c>
    </row>
    <row r="591" s="43" customFormat="1" customHeight="1" spans="1:16">
      <c r="A591" s="67" t="s">
        <v>4347</v>
      </c>
      <c r="B591" s="67">
        <v>30.8</v>
      </c>
      <c r="C591" s="67">
        <v>3</v>
      </c>
      <c r="D591" s="67" t="s">
        <v>4233</v>
      </c>
      <c r="E591" s="67" t="s">
        <v>4348</v>
      </c>
      <c r="F591" s="67" t="s">
        <v>12</v>
      </c>
      <c r="G591" s="67" t="s">
        <v>4349</v>
      </c>
      <c r="H591" s="67" t="s">
        <v>4350</v>
      </c>
      <c r="I591" s="67" t="s">
        <v>161</v>
      </c>
      <c r="J591" s="67" t="s">
        <v>161</v>
      </c>
      <c r="K591" s="67" t="s">
        <v>161</v>
      </c>
      <c r="L591" s="67" t="s">
        <v>4351</v>
      </c>
      <c r="M591" s="67" t="s">
        <v>4352</v>
      </c>
      <c r="N591" s="67" t="s">
        <v>4352</v>
      </c>
      <c r="O591" s="67" t="s">
        <v>165</v>
      </c>
      <c r="P591" s="67" t="s">
        <v>4353</v>
      </c>
    </row>
    <row r="592" s="43" customFormat="1" customHeight="1" spans="1:16">
      <c r="A592" s="67" t="s">
        <v>4354</v>
      </c>
      <c r="B592" s="67">
        <v>37.75</v>
      </c>
      <c r="C592" s="67">
        <v>4</v>
      </c>
      <c r="D592" s="67" t="s">
        <v>4029</v>
      </c>
      <c r="E592" s="67" t="s">
        <v>4030</v>
      </c>
      <c r="F592" s="67" t="s">
        <v>12</v>
      </c>
      <c r="G592" s="67" t="s">
        <v>4355</v>
      </c>
      <c r="H592" s="67" t="s">
        <v>4356</v>
      </c>
      <c r="I592" s="67" t="s">
        <v>161</v>
      </c>
      <c r="J592" s="67" t="s">
        <v>161</v>
      </c>
      <c r="K592" s="67" t="s">
        <v>161</v>
      </c>
      <c r="L592" s="67" t="s">
        <v>4357</v>
      </c>
      <c r="M592" s="67" t="s">
        <v>4358</v>
      </c>
      <c r="N592" s="67" t="s">
        <v>4358</v>
      </c>
      <c r="O592" s="67" t="s">
        <v>165</v>
      </c>
      <c r="P592" s="67" t="s">
        <v>4359</v>
      </c>
    </row>
    <row r="593" s="43" customFormat="1" customHeight="1" spans="1:16">
      <c r="A593" s="67" t="s">
        <v>4360</v>
      </c>
      <c r="B593" s="67">
        <v>33.15</v>
      </c>
      <c r="C593" s="67">
        <v>3</v>
      </c>
      <c r="D593" s="67" t="s">
        <v>4361</v>
      </c>
      <c r="E593" s="67" t="s">
        <v>3369</v>
      </c>
      <c r="F593" s="67" t="s">
        <v>98</v>
      </c>
      <c r="G593" s="67" t="s">
        <v>4362</v>
      </c>
      <c r="H593" s="67" t="s">
        <v>4363</v>
      </c>
      <c r="I593" s="67" t="s">
        <v>161</v>
      </c>
      <c r="J593" s="67" t="s">
        <v>161</v>
      </c>
      <c r="K593" s="67" t="s">
        <v>161</v>
      </c>
      <c r="L593" s="67" t="s">
        <v>4364</v>
      </c>
      <c r="M593" s="67" t="s">
        <v>4365</v>
      </c>
      <c r="N593" s="67" t="s">
        <v>4365</v>
      </c>
      <c r="O593" s="67" t="s">
        <v>165</v>
      </c>
      <c r="P593" s="67" t="s">
        <v>4366</v>
      </c>
    </row>
    <row r="594" s="43" customFormat="1" hidden="1" customHeight="1" spans="1:16">
      <c r="A594" s="67" t="s">
        <v>4367</v>
      </c>
      <c r="B594" s="67">
        <v>39.33</v>
      </c>
      <c r="C594" s="67">
        <v>4</v>
      </c>
      <c r="D594" s="67" t="s">
        <v>3573</v>
      </c>
      <c r="E594" s="67" t="s">
        <v>3574</v>
      </c>
      <c r="F594" s="67" t="s">
        <v>12</v>
      </c>
      <c r="G594" s="67" t="s">
        <v>4368</v>
      </c>
      <c r="H594" s="67" t="s">
        <v>4369</v>
      </c>
      <c r="I594" s="67" t="s">
        <v>161</v>
      </c>
      <c r="J594" s="67" t="s">
        <v>649</v>
      </c>
      <c r="K594" s="67" t="s">
        <v>161</v>
      </c>
      <c r="L594" s="67" t="s">
        <v>4370</v>
      </c>
      <c r="M594" s="67" t="s">
        <v>4371</v>
      </c>
      <c r="N594" s="67" t="s">
        <v>4371</v>
      </c>
      <c r="O594" s="67" t="s">
        <v>165</v>
      </c>
      <c r="P594" s="67" t="s">
        <v>4372</v>
      </c>
    </row>
    <row r="595" s="43" customFormat="1" customHeight="1" spans="1:16">
      <c r="A595" s="67" t="s">
        <v>4373</v>
      </c>
      <c r="B595" s="67">
        <v>40.6</v>
      </c>
      <c r="C595" s="67">
        <v>5</v>
      </c>
      <c r="D595" s="67" t="s">
        <v>3667</v>
      </c>
      <c r="E595" s="67" t="s">
        <v>3668</v>
      </c>
      <c r="F595" s="67" t="s">
        <v>12</v>
      </c>
      <c r="G595" s="67" t="s">
        <v>4374</v>
      </c>
      <c r="H595" s="67" t="s">
        <v>4375</v>
      </c>
      <c r="I595" s="67" t="s">
        <v>161</v>
      </c>
      <c r="J595" s="67" t="s">
        <v>161</v>
      </c>
      <c r="K595" s="67" t="s">
        <v>161</v>
      </c>
      <c r="L595" s="67" t="s">
        <v>4376</v>
      </c>
      <c r="M595" s="67" t="s">
        <v>4377</v>
      </c>
      <c r="N595" s="67" t="s">
        <v>4377</v>
      </c>
      <c r="O595" s="67" t="s">
        <v>165</v>
      </c>
      <c r="P595" s="67" t="s">
        <v>4378</v>
      </c>
    </row>
    <row r="596" s="43" customFormat="1" hidden="1" customHeight="1" spans="1:16">
      <c r="A596" s="67" t="s">
        <v>4379</v>
      </c>
      <c r="B596" s="67">
        <v>35.75</v>
      </c>
      <c r="C596" s="67">
        <v>4</v>
      </c>
      <c r="D596" s="67" t="s">
        <v>4380</v>
      </c>
      <c r="E596" s="67" t="s">
        <v>4381</v>
      </c>
      <c r="F596" s="67" t="s">
        <v>12</v>
      </c>
      <c r="G596" s="67" t="s">
        <v>4382</v>
      </c>
      <c r="H596" s="67" t="s">
        <v>4383</v>
      </c>
      <c r="I596" s="67" t="s">
        <v>161</v>
      </c>
      <c r="J596" s="67" t="s">
        <v>649</v>
      </c>
      <c r="K596" s="67" t="s">
        <v>161</v>
      </c>
      <c r="L596" s="67" t="s">
        <v>4384</v>
      </c>
      <c r="M596" s="67" t="s">
        <v>4385</v>
      </c>
      <c r="N596" s="67" t="s">
        <v>4385</v>
      </c>
      <c r="O596" s="67" t="s">
        <v>165</v>
      </c>
      <c r="P596" s="67" t="s">
        <v>4386</v>
      </c>
    </row>
    <row r="597" s="43" customFormat="1" hidden="1" customHeight="1" spans="1:16">
      <c r="A597" s="67" t="s">
        <v>4387</v>
      </c>
      <c r="B597" s="67">
        <v>52.7</v>
      </c>
      <c r="C597" s="67">
        <v>5</v>
      </c>
      <c r="D597" s="67" t="s">
        <v>4388</v>
      </c>
      <c r="E597" s="67" t="s">
        <v>4389</v>
      </c>
      <c r="F597" s="67" t="s">
        <v>12</v>
      </c>
      <c r="G597" s="67" t="s">
        <v>4390</v>
      </c>
      <c r="H597" s="67" t="s">
        <v>4391</v>
      </c>
      <c r="I597" s="67" t="s">
        <v>161</v>
      </c>
      <c r="J597" s="67" t="s">
        <v>649</v>
      </c>
      <c r="K597" s="67" t="s">
        <v>161</v>
      </c>
      <c r="L597" s="67" t="s">
        <v>4392</v>
      </c>
      <c r="M597" s="67" t="s">
        <v>4393</v>
      </c>
      <c r="N597" s="67" t="s">
        <v>4393</v>
      </c>
      <c r="O597" s="67" t="s">
        <v>165</v>
      </c>
      <c r="P597" s="67" t="s">
        <v>4394</v>
      </c>
    </row>
    <row r="598" s="43" customFormat="1" customHeight="1" spans="1:16">
      <c r="A598" s="67" t="s">
        <v>4395</v>
      </c>
      <c r="B598" s="67">
        <v>35.7</v>
      </c>
      <c r="C598" s="67">
        <v>4</v>
      </c>
      <c r="D598" s="67" t="s">
        <v>4396</v>
      </c>
      <c r="E598" s="67" t="s">
        <v>4397</v>
      </c>
      <c r="F598" s="67" t="s">
        <v>78</v>
      </c>
      <c r="G598" s="67" t="s">
        <v>4398</v>
      </c>
      <c r="H598" s="67" t="s">
        <v>4399</v>
      </c>
      <c r="I598" s="67" t="s">
        <v>161</v>
      </c>
      <c r="J598" s="67" t="s">
        <v>161</v>
      </c>
      <c r="K598" s="67" t="s">
        <v>161</v>
      </c>
      <c r="L598" s="67" t="s">
        <v>4400</v>
      </c>
      <c r="M598" s="67" t="s">
        <v>4401</v>
      </c>
      <c r="N598" s="67" t="s">
        <v>4401</v>
      </c>
      <c r="O598" s="67" t="s">
        <v>165</v>
      </c>
      <c r="P598" s="67" t="s">
        <v>4402</v>
      </c>
    </row>
    <row r="599" s="43" customFormat="1" hidden="1" customHeight="1" spans="1:16">
      <c r="A599" s="67" t="s">
        <v>4403</v>
      </c>
      <c r="B599" s="67">
        <v>37.54</v>
      </c>
      <c r="C599" s="67">
        <v>4</v>
      </c>
      <c r="D599" s="67" t="s">
        <v>3376</v>
      </c>
      <c r="E599" s="67" t="s">
        <v>3377</v>
      </c>
      <c r="F599" s="67" t="s">
        <v>12</v>
      </c>
      <c r="G599" s="67" t="s">
        <v>4404</v>
      </c>
      <c r="H599" s="67" t="s">
        <v>4405</v>
      </c>
      <c r="I599" s="67" t="s">
        <v>161</v>
      </c>
      <c r="J599" s="67" t="s">
        <v>649</v>
      </c>
      <c r="K599" s="67" t="s">
        <v>161</v>
      </c>
      <c r="L599" s="67" t="s">
        <v>4406</v>
      </c>
      <c r="M599" s="67" t="s">
        <v>4407</v>
      </c>
      <c r="N599" s="67" t="s">
        <v>4407</v>
      </c>
      <c r="O599" s="67" t="s">
        <v>165</v>
      </c>
      <c r="P599" s="67" t="s">
        <v>4408</v>
      </c>
    </row>
    <row r="600" s="43" customFormat="1" customHeight="1" spans="1:16">
      <c r="A600" s="67" t="s">
        <v>4409</v>
      </c>
      <c r="B600" s="67">
        <v>37.75</v>
      </c>
      <c r="C600" s="67">
        <v>4</v>
      </c>
      <c r="D600" s="67" t="s">
        <v>4029</v>
      </c>
      <c r="E600" s="67" t="s">
        <v>4030</v>
      </c>
      <c r="F600" s="67" t="s">
        <v>12</v>
      </c>
      <c r="G600" s="67" t="s">
        <v>4410</v>
      </c>
      <c r="H600" s="67" t="s">
        <v>4411</v>
      </c>
      <c r="I600" s="67" t="s">
        <v>161</v>
      </c>
      <c r="J600" s="67" t="s">
        <v>161</v>
      </c>
      <c r="K600" s="67" t="s">
        <v>161</v>
      </c>
      <c r="L600" s="67" t="s">
        <v>4412</v>
      </c>
      <c r="M600" s="67" t="s">
        <v>4413</v>
      </c>
      <c r="N600" s="67" t="s">
        <v>4413</v>
      </c>
      <c r="O600" s="67" t="s">
        <v>165</v>
      </c>
      <c r="P600" s="67" t="s">
        <v>4414</v>
      </c>
    </row>
    <row r="601" s="171" customFormat="1" customHeight="1" spans="1:16">
      <c r="A601" s="67" t="s">
        <v>4415</v>
      </c>
      <c r="B601" s="67">
        <v>52.7</v>
      </c>
      <c r="C601" s="67">
        <v>5</v>
      </c>
      <c r="D601" s="67" t="s">
        <v>4416</v>
      </c>
      <c r="E601" s="67" t="s">
        <v>4417</v>
      </c>
      <c r="F601" s="67" t="s">
        <v>78</v>
      </c>
      <c r="G601" s="67" t="s">
        <v>4418</v>
      </c>
      <c r="H601" s="67" t="s">
        <v>161</v>
      </c>
      <c r="I601" s="67" t="s">
        <v>161</v>
      </c>
      <c r="J601" s="67" t="s">
        <v>161</v>
      </c>
      <c r="K601" s="67" t="s">
        <v>161</v>
      </c>
      <c r="L601" s="67" t="s">
        <v>4419</v>
      </c>
      <c r="M601" s="67" t="s">
        <v>4420</v>
      </c>
      <c r="N601" s="67" t="s">
        <v>4420</v>
      </c>
      <c r="O601" s="67" t="s">
        <v>165</v>
      </c>
      <c r="P601" s="67" t="s">
        <v>161</v>
      </c>
    </row>
    <row r="602" s="43" customFormat="1" hidden="1" customHeight="1" spans="1:16">
      <c r="A602" s="67" t="s">
        <v>4421</v>
      </c>
      <c r="B602" s="67">
        <v>26.89</v>
      </c>
      <c r="C602" s="67">
        <v>2</v>
      </c>
      <c r="D602" s="67" t="s">
        <v>3728</v>
      </c>
      <c r="E602" s="67" t="s">
        <v>3729</v>
      </c>
      <c r="F602" s="67" t="s">
        <v>12</v>
      </c>
      <c r="G602" s="67" t="s">
        <v>4422</v>
      </c>
      <c r="H602" s="67" t="s">
        <v>4423</v>
      </c>
      <c r="I602" s="67" t="s">
        <v>161</v>
      </c>
      <c r="J602" s="67" t="s">
        <v>649</v>
      </c>
      <c r="K602" s="67" t="s">
        <v>161</v>
      </c>
      <c r="L602" s="67" t="s">
        <v>4424</v>
      </c>
      <c r="M602" s="67" t="s">
        <v>4425</v>
      </c>
      <c r="N602" s="67" t="s">
        <v>4425</v>
      </c>
      <c r="O602" s="67" t="s">
        <v>165</v>
      </c>
      <c r="P602" s="67" t="s">
        <v>4426</v>
      </c>
    </row>
    <row r="603" s="43" customFormat="1" hidden="1" customHeight="1" spans="1:16">
      <c r="A603" s="67" t="s">
        <v>4427</v>
      </c>
      <c r="B603" s="67">
        <v>48.8</v>
      </c>
      <c r="C603" s="67">
        <v>3</v>
      </c>
      <c r="D603" s="67" t="s">
        <v>4428</v>
      </c>
      <c r="E603" s="67" t="s">
        <v>4429</v>
      </c>
      <c r="F603" s="67" t="s">
        <v>12</v>
      </c>
      <c r="G603" s="67" t="s">
        <v>4430</v>
      </c>
      <c r="H603" s="67" t="s">
        <v>4431</v>
      </c>
      <c r="I603" s="67" t="s">
        <v>161</v>
      </c>
      <c r="J603" s="67" t="s">
        <v>649</v>
      </c>
      <c r="K603" s="67" t="s">
        <v>161</v>
      </c>
      <c r="L603" s="67" t="s">
        <v>4432</v>
      </c>
      <c r="M603" s="67" t="s">
        <v>4433</v>
      </c>
      <c r="N603" s="67" t="s">
        <v>4433</v>
      </c>
      <c r="O603" s="67" t="s">
        <v>165</v>
      </c>
      <c r="P603" s="67" t="s">
        <v>4434</v>
      </c>
    </row>
    <row r="604" s="43" customFormat="1" hidden="1" customHeight="1" spans="1:16">
      <c r="A604" s="67" t="s">
        <v>4435</v>
      </c>
      <c r="B604" s="67">
        <v>59.65</v>
      </c>
      <c r="C604" s="67">
        <v>6</v>
      </c>
      <c r="D604" s="67" t="s">
        <v>4436</v>
      </c>
      <c r="E604" s="67" t="s">
        <v>4437</v>
      </c>
      <c r="F604" s="67" t="s">
        <v>12</v>
      </c>
      <c r="G604" s="67" t="s">
        <v>4438</v>
      </c>
      <c r="H604" s="67" t="s">
        <v>4439</v>
      </c>
      <c r="I604" s="67" t="s">
        <v>161</v>
      </c>
      <c r="J604" s="67" t="s">
        <v>649</v>
      </c>
      <c r="K604" s="67" t="s">
        <v>161</v>
      </c>
      <c r="L604" s="67" t="s">
        <v>4440</v>
      </c>
      <c r="M604" s="67" t="s">
        <v>4441</v>
      </c>
      <c r="N604" s="67" t="s">
        <v>4441</v>
      </c>
      <c r="O604" s="67" t="s">
        <v>165</v>
      </c>
      <c r="P604" s="67" t="s">
        <v>4442</v>
      </c>
    </row>
    <row r="605" s="43" customFormat="1" hidden="1" customHeight="1" spans="1:16">
      <c r="A605" s="67" t="s">
        <v>4443</v>
      </c>
      <c r="B605" s="67">
        <v>30.85</v>
      </c>
      <c r="C605" s="67">
        <v>3</v>
      </c>
      <c r="D605" s="67" t="s">
        <v>3368</v>
      </c>
      <c r="E605" s="67" t="s">
        <v>3369</v>
      </c>
      <c r="F605" s="67" t="s">
        <v>12</v>
      </c>
      <c r="G605" s="67" t="s">
        <v>4444</v>
      </c>
      <c r="H605" s="67" t="s">
        <v>4445</v>
      </c>
      <c r="I605" s="67" t="s">
        <v>161</v>
      </c>
      <c r="J605" s="67" t="s">
        <v>649</v>
      </c>
      <c r="K605" s="67" t="s">
        <v>161</v>
      </c>
      <c r="L605" s="67" t="s">
        <v>4446</v>
      </c>
      <c r="M605" s="67" t="s">
        <v>4447</v>
      </c>
      <c r="N605" s="67" t="s">
        <v>4447</v>
      </c>
      <c r="O605" s="67" t="s">
        <v>165</v>
      </c>
      <c r="P605" s="67" t="s">
        <v>4448</v>
      </c>
    </row>
    <row r="606" s="43" customFormat="1" customHeight="1" spans="1:16">
      <c r="A606" s="67" t="s">
        <v>4449</v>
      </c>
      <c r="B606" s="67">
        <v>35.7</v>
      </c>
      <c r="C606" s="67">
        <v>4</v>
      </c>
      <c r="D606" s="67" t="s">
        <v>4396</v>
      </c>
      <c r="E606" s="67" t="s">
        <v>4450</v>
      </c>
      <c r="F606" s="67" t="s">
        <v>12</v>
      </c>
      <c r="G606" s="67" t="s">
        <v>4451</v>
      </c>
      <c r="H606" s="67" t="s">
        <v>4452</v>
      </c>
      <c r="I606" s="67" t="s">
        <v>161</v>
      </c>
      <c r="J606" s="67" t="s">
        <v>161</v>
      </c>
      <c r="K606" s="67" t="s">
        <v>161</v>
      </c>
      <c r="L606" s="67" t="s">
        <v>4453</v>
      </c>
      <c r="M606" s="67" t="s">
        <v>4454</v>
      </c>
      <c r="N606" s="67" t="s">
        <v>4454</v>
      </c>
      <c r="O606" s="67" t="s">
        <v>165</v>
      </c>
      <c r="P606" s="67" t="s">
        <v>4455</v>
      </c>
    </row>
    <row r="607" s="43" customFormat="1" hidden="1" customHeight="1" spans="1:16">
      <c r="A607" s="67" t="s">
        <v>4456</v>
      </c>
      <c r="B607" s="67">
        <v>26.89</v>
      </c>
      <c r="C607" s="67">
        <v>2</v>
      </c>
      <c r="D607" s="67" t="s">
        <v>3262</v>
      </c>
      <c r="E607" s="67" t="s">
        <v>3263</v>
      </c>
      <c r="F607" s="67" t="s">
        <v>12</v>
      </c>
      <c r="G607" s="67" t="s">
        <v>4457</v>
      </c>
      <c r="H607" s="67" t="s">
        <v>4458</v>
      </c>
      <c r="I607" s="67" t="s">
        <v>161</v>
      </c>
      <c r="J607" s="67" t="s">
        <v>649</v>
      </c>
      <c r="K607" s="67" t="s">
        <v>161</v>
      </c>
      <c r="L607" s="67" t="s">
        <v>4459</v>
      </c>
      <c r="M607" s="67" t="s">
        <v>4460</v>
      </c>
      <c r="N607" s="67" t="s">
        <v>4460</v>
      </c>
      <c r="O607" s="67" t="s">
        <v>165</v>
      </c>
      <c r="P607" s="67" t="s">
        <v>4461</v>
      </c>
    </row>
    <row r="608" s="43" customFormat="1" customHeight="1" spans="1:16">
      <c r="A608" s="67" t="s">
        <v>4462</v>
      </c>
      <c r="B608" s="67">
        <v>36.7</v>
      </c>
      <c r="C608" s="67">
        <v>4</v>
      </c>
      <c r="D608" s="67" t="s">
        <v>3319</v>
      </c>
      <c r="E608" s="67" t="s">
        <v>3320</v>
      </c>
      <c r="F608" s="67" t="s">
        <v>12</v>
      </c>
      <c r="G608" s="67" t="s">
        <v>4463</v>
      </c>
      <c r="H608" s="67" t="s">
        <v>4464</v>
      </c>
      <c r="I608" s="67" t="s">
        <v>161</v>
      </c>
      <c r="J608" s="67" t="s">
        <v>161</v>
      </c>
      <c r="K608" s="67" t="s">
        <v>161</v>
      </c>
      <c r="L608" s="67" t="s">
        <v>4465</v>
      </c>
      <c r="M608" s="67" t="s">
        <v>4466</v>
      </c>
      <c r="N608" s="67" t="s">
        <v>4466</v>
      </c>
      <c r="O608" s="67" t="s">
        <v>165</v>
      </c>
      <c r="P608" s="67" t="s">
        <v>4467</v>
      </c>
    </row>
    <row r="609" s="43" customFormat="1" hidden="1" customHeight="1" spans="1:16">
      <c r="A609" s="67" t="s">
        <v>4468</v>
      </c>
      <c r="B609" s="67">
        <v>16.79</v>
      </c>
      <c r="C609" s="67">
        <v>3</v>
      </c>
      <c r="D609" s="67" t="s">
        <v>4469</v>
      </c>
      <c r="E609" s="67" t="s">
        <v>3654</v>
      </c>
      <c r="F609" s="67" t="s">
        <v>12</v>
      </c>
      <c r="G609" s="67" t="s">
        <v>4470</v>
      </c>
      <c r="H609" s="67" t="s">
        <v>4471</v>
      </c>
      <c r="I609" s="67" t="s">
        <v>161</v>
      </c>
      <c r="J609" s="67" t="s">
        <v>649</v>
      </c>
      <c r="K609" s="67" t="s">
        <v>161</v>
      </c>
      <c r="L609" s="67" t="s">
        <v>4472</v>
      </c>
      <c r="M609" s="67" t="s">
        <v>4473</v>
      </c>
      <c r="N609" s="67" t="s">
        <v>4473</v>
      </c>
      <c r="O609" s="67" t="s">
        <v>165</v>
      </c>
      <c r="P609" s="67" t="s">
        <v>4474</v>
      </c>
    </row>
    <row r="610" s="43" customFormat="1" hidden="1" customHeight="1" spans="1:16">
      <c r="A610" s="67" t="s">
        <v>4475</v>
      </c>
      <c r="B610" s="67">
        <v>33.8</v>
      </c>
      <c r="C610" s="67">
        <v>3</v>
      </c>
      <c r="D610" s="67" t="s">
        <v>4476</v>
      </c>
      <c r="E610" s="67" t="s">
        <v>3397</v>
      </c>
      <c r="F610" s="67" t="s">
        <v>12</v>
      </c>
      <c r="G610" s="67" t="s">
        <v>4477</v>
      </c>
      <c r="H610" s="67" t="s">
        <v>4478</v>
      </c>
      <c r="I610" s="67" t="s">
        <v>161</v>
      </c>
      <c r="J610" s="67" t="s">
        <v>649</v>
      </c>
      <c r="K610" s="67" t="s">
        <v>161</v>
      </c>
      <c r="L610" s="67" t="s">
        <v>4479</v>
      </c>
      <c r="M610" s="67" t="s">
        <v>4480</v>
      </c>
      <c r="N610" s="67" t="s">
        <v>4480</v>
      </c>
      <c r="O610" s="67" t="s">
        <v>165</v>
      </c>
      <c r="P610" s="67" t="s">
        <v>4481</v>
      </c>
    </row>
    <row r="611" s="43" customFormat="1" customHeight="1" spans="1:16">
      <c r="A611" s="67" t="s">
        <v>4482</v>
      </c>
      <c r="B611" s="67">
        <v>56.62</v>
      </c>
      <c r="C611" s="67">
        <v>6</v>
      </c>
      <c r="D611" s="67" t="s">
        <v>4483</v>
      </c>
      <c r="E611" s="67" t="s">
        <v>4484</v>
      </c>
      <c r="F611" s="67" t="s">
        <v>12</v>
      </c>
      <c r="G611" s="67" t="s">
        <v>4485</v>
      </c>
      <c r="H611" s="67" t="s">
        <v>4486</v>
      </c>
      <c r="I611" s="67" t="s">
        <v>161</v>
      </c>
      <c r="J611" s="67" t="s">
        <v>161</v>
      </c>
      <c r="K611" s="67" t="s">
        <v>161</v>
      </c>
      <c r="L611" s="67" t="s">
        <v>4487</v>
      </c>
      <c r="M611" s="67" t="s">
        <v>4488</v>
      </c>
      <c r="N611" s="67" t="s">
        <v>4488</v>
      </c>
      <c r="O611" s="67" t="s">
        <v>165</v>
      </c>
      <c r="P611" s="67" t="s">
        <v>4489</v>
      </c>
    </row>
    <row r="612" s="43" customFormat="1" customHeight="1" spans="1:16">
      <c r="A612" s="67" t="s">
        <v>4490</v>
      </c>
      <c r="B612" s="67">
        <v>92.56</v>
      </c>
      <c r="C612" s="67">
        <v>11</v>
      </c>
      <c r="D612" s="67" t="s">
        <v>4491</v>
      </c>
      <c r="E612" s="67" t="s">
        <v>4492</v>
      </c>
      <c r="F612" s="67" t="s">
        <v>12</v>
      </c>
      <c r="G612" s="67" t="s">
        <v>4493</v>
      </c>
      <c r="H612" s="67" t="s">
        <v>4494</v>
      </c>
      <c r="I612" s="67" t="s">
        <v>161</v>
      </c>
      <c r="J612" s="67" t="s">
        <v>161</v>
      </c>
      <c r="K612" s="67" t="s">
        <v>161</v>
      </c>
      <c r="L612" s="67" t="s">
        <v>4495</v>
      </c>
      <c r="M612" s="67" t="s">
        <v>4496</v>
      </c>
      <c r="N612" s="67" t="s">
        <v>4496</v>
      </c>
      <c r="O612" s="67" t="s">
        <v>165</v>
      </c>
      <c r="P612" s="67" t="s">
        <v>4497</v>
      </c>
    </row>
    <row r="613" s="43" customFormat="1" customHeight="1" spans="1:16">
      <c r="A613" s="67" t="s">
        <v>4498</v>
      </c>
      <c r="B613" s="67">
        <v>30.85</v>
      </c>
      <c r="C613" s="67">
        <v>3</v>
      </c>
      <c r="D613" s="67" t="s">
        <v>4361</v>
      </c>
      <c r="E613" s="67" t="s">
        <v>3369</v>
      </c>
      <c r="F613" s="67" t="s">
        <v>78</v>
      </c>
      <c r="G613" s="67" t="s">
        <v>4499</v>
      </c>
      <c r="H613" s="67" t="s">
        <v>4500</v>
      </c>
      <c r="I613" s="67" t="s">
        <v>161</v>
      </c>
      <c r="J613" s="67" t="s">
        <v>161</v>
      </c>
      <c r="K613" s="67" t="s">
        <v>161</v>
      </c>
      <c r="L613" s="67" t="s">
        <v>4501</v>
      </c>
      <c r="M613" s="67" t="s">
        <v>4502</v>
      </c>
      <c r="N613" s="67" t="s">
        <v>4502</v>
      </c>
      <c r="O613" s="67" t="s">
        <v>165</v>
      </c>
      <c r="P613" s="67" t="s">
        <v>4503</v>
      </c>
    </row>
    <row r="614" s="43" customFormat="1" customHeight="1" spans="1:16">
      <c r="A614" s="67" t="s">
        <v>4504</v>
      </c>
      <c r="B614" s="67">
        <v>73.45</v>
      </c>
      <c r="C614" s="67">
        <v>9</v>
      </c>
      <c r="D614" s="67" t="s">
        <v>4505</v>
      </c>
      <c r="E614" s="67" t="s">
        <v>4506</v>
      </c>
      <c r="F614" s="67" t="s">
        <v>12</v>
      </c>
      <c r="G614" s="67" t="s">
        <v>4507</v>
      </c>
      <c r="H614" s="67" t="s">
        <v>4508</v>
      </c>
      <c r="I614" s="67" t="s">
        <v>161</v>
      </c>
      <c r="J614" s="67" t="s">
        <v>161</v>
      </c>
      <c r="K614" s="67" t="s">
        <v>161</v>
      </c>
      <c r="L614" s="67" t="s">
        <v>4509</v>
      </c>
      <c r="M614" s="67" t="s">
        <v>4510</v>
      </c>
      <c r="N614" s="67" t="s">
        <v>4510</v>
      </c>
      <c r="O614" s="67" t="s">
        <v>165</v>
      </c>
      <c r="P614" s="67" t="s">
        <v>4511</v>
      </c>
    </row>
    <row r="615" s="43" customFormat="1" hidden="1" customHeight="1" spans="1:16">
      <c r="A615" s="67" t="s">
        <v>4512</v>
      </c>
      <c r="B615" s="67">
        <v>67.4</v>
      </c>
      <c r="C615" s="67">
        <v>8</v>
      </c>
      <c r="D615" s="67" t="s">
        <v>4513</v>
      </c>
      <c r="E615" s="67" t="s">
        <v>4514</v>
      </c>
      <c r="F615" s="67" t="s">
        <v>12</v>
      </c>
      <c r="G615" s="67" t="s">
        <v>4515</v>
      </c>
      <c r="H615" s="67" t="s">
        <v>4516</v>
      </c>
      <c r="I615" s="67" t="s">
        <v>161</v>
      </c>
      <c r="J615" s="67" t="s">
        <v>649</v>
      </c>
      <c r="K615" s="67" t="s">
        <v>161</v>
      </c>
      <c r="L615" s="67" t="s">
        <v>4517</v>
      </c>
      <c r="M615" s="67" t="s">
        <v>4518</v>
      </c>
      <c r="N615" s="67" t="s">
        <v>4518</v>
      </c>
      <c r="O615" s="67" t="s">
        <v>165</v>
      </c>
      <c r="P615" s="67" t="s">
        <v>4519</v>
      </c>
    </row>
    <row r="616" s="171" customFormat="1" customHeight="1" spans="1:16">
      <c r="A616" s="67" t="s">
        <v>4520</v>
      </c>
      <c r="B616" s="67">
        <v>85.04</v>
      </c>
      <c r="C616" s="67">
        <v>9</v>
      </c>
      <c r="D616" s="67" t="s">
        <v>4521</v>
      </c>
      <c r="E616" s="67" t="s">
        <v>4522</v>
      </c>
      <c r="F616" s="67" t="s">
        <v>98</v>
      </c>
      <c r="G616" s="67" t="s">
        <v>4523</v>
      </c>
      <c r="H616" s="67" t="s">
        <v>4524</v>
      </c>
      <c r="I616" s="67" t="s">
        <v>161</v>
      </c>
      <c r="J616" s="67" t="s">
        <v>161</v>
      </c>
      <c r="K616" s="67" t="s">
        <v>161</v>
      </c>
      <c r="L616" s="67" t="s">
        <v>4525</v>
      </c>
      <c r="M616" s="67" t="s">
        <v>4526</v>
      </c>
      <c r="N616" s="67" t="s">
        <v>4526</v>
      </c>
      <c r="O616" s="67" t="s">
        <v>165</v>
      </c>
      <c r="P616" s="67" t="s">
        <v>161</v>
      </c>
    </row>
    <row r="617" s="43" customFormat="1" customHeight="1" spans="1:16">
      <c r="A617" s="67" t="s">
        <v>4527</v>
      </c>
      <c r="B617" s="67">
        <v>70</v>
      </c>
      <c r="C617" s="67">
        <v>8</v>
      </c>
      <c r="D617" s="67" t="s">
        <v>4528</v>
      </c>
      <c r="E617" s="67" t="s">
        <v>4529</v>
      </c>
      <c r="F617" s="67" t="s">
        <v>12</v>
      </c>
      <c r="G617" s="67" t="s">
        <v>4530</v>
      </c>
      <c r="H617" s="67" t="s">
        <v>4531</v>
      </c>
      <c r="I617" s="67" t="s">
        <v>161</v>
      </c>
      <c r="J617" s="67" t="s">
        <v>161</v>
      </c>
      <c r="K617" s="67" t="s">
        <v>161</v>
      </c>
      <c r="L617" s="67" t="s">
        <v>4532</v>
      </c>
      <c r="M617" s="67" t="s">
        <v>4533</v>
      </c>
      <c r="N617" s="67" t="s">
        <v>4533</v>
      </c>
      <c r="O617" s="67" t="s">
        <v>165</v>
      </c>
      <c r="P617" s="67" t="s">
        <v>4534</v>
      </c>
    </row>
    <row r="618" s="43" customFormat="1" hidden="1" customHeight="1" spans="1:16">
      <c r="A618" s="67" t="s">
        <v>4535</v>
      </c>
      <c r="B618" s="67">
        <v>52.7</v>
      </c>
      <c r="C618" s="67">
        <v>5</v>
      </c>
      <c r="D618" s="67" t="s">
        <v>4536</v>
      </c>
      <c r="E618" s="67" t="s">
        <v>4537</v>
      </c>
      <c r="F618" s="67" t="s">
        <v>12</v>
      </c>
      <c r="G618" s="67" t="s">
        <v>4538</v>
      </c>
      <c r="H618" s="67" t="s">
        <v>4539</v>
      </c>
      <c r="I618" s="67" t="s">
        <v>161</v>
      </c>
      <c r="J618" s="67" t="s">
        <v>649</v>
      </c>
      <c r="K618" s="67" t="s">
        <v>161</v>
      </c>
      <c r="L618" s="67" t="s">
        <v>4540</v>
      </c>
      <c r="M618" s="67" t="s">
        <v>4541</v>
      </c>
      <c r="N618" s="67" t="s">
        <v>4541</v>
      </c>
      <c r="O618" s="67" t="s">
        <v>165</v>
      </c>
      <c r="P618" s="67" t="s">
        <v>4542</v>
      </c>
    </row>
    <row r="619" s="43" customFormat="1" hidden="1" customHeight="1" spans="1:16">
      <c r="A619" s="67" t="s">
        <v>4543</v>
      </c>
      <c r="B619" s="67">
        <v>16.79</v>
      </c>
      <c r="C619" s="67">
        <v>3</v>
      </c>
      <c r="D619" s="67" t="s">
        <v>4469</v>
      </c>
      <c r="E619" s="67" t="s">
        <v>3654</v>
      </c>
      <c r="F619" s="67" t="s">
        <v>12</v>
      </c>
      <c r="G619" s="67" t="s">
        <v>4544</v>
      </c>
      <c r="H619" s="67" t="s">
        <v>4545</v>
      </c>
      <c r="I619" s="67" t="s">
        <v>161</v>
      </c>
      <c r="J619" s="67" t="s">
        <v>649</v>
      </c>
      <c r="K619" s="67" t="s">
        <v>161</v>
      </c>
      <c r="L619" s="67" t="s">
        <v>4546</v>
      </c>
      <c r="M619" s="67" t="s">
        <v>4547</v>
      </c>
      <c r="N619" s="67" t="s">
        <v>4547</v>
      </c>
      <c r="O619" s="67" t="s">
        <v>165</v>
      </c>
      <c r="P619" s="67" t="s">
        <v>4548</v>
      </c>
    </row>
    <row r="620" s="43" customFormat="1" hidden="1" customHeight="1" spans="1:16">
      <c r="A620" s="67" t="s">
        <v>4549</v>
      </c>
      <c r="B620" s="67">
        <v>38.7</v>
      </c>
      <c r="C620" s="67">
        <v>4</v>
      </c>
      <c r="D620" s="67" t="s">
        <v>3396</v>
      </c>
      <c r="E620" s="67" t="s">
        <v>3397</v>
      </c>
      <c r="F620" s="67" t="s">
        <v>12</v>
      </c>
      <c r="G620" s="67" t="s">
        <v>4550</v>
      </c>
      <c r="H620" s="67" t="s">
        <v>4551</v>
      </c>
      <c r="I620" s="67" t="s">
        <v>161</v>
      </c>
      <c r="J620" s="67" t="s">
        <v>649</v>
      </c>
      <c r="K620" s="67" t="s">
        <v>161</v>
      </c>
      <c r="L620" s="67" t="s">
        <v>4552</v>
      </c>
      <c r="M620" s="67" t="s">
        <v>4553</v>
      </c>
      <c r="N620" s="67" t="s">
        <v>4553</v>
      </c>
      <c r="O620" s="67" t="s">
        <v>165</v>
      </c>
      <c r="P620" s="67" t="s">
        <v>4554</v>
      </c>
    </row>
    <row r="621" s="43" customFormat="1" hidden="1" customHeight="1" spans="1:16">
      <c r="A621" s="67" t="s">
        <v>4555</v>
      </c>
      <c r="B621" s="67">
        <v>26.89</v>
      </c>
      <c r="C621" s="67">
        <v>2</v>
      </c>
      <c r="D621" s="67" t="s">
        <v>3262</v>
      </c>
      <c r="E621" s="67" t="s">
        <v>3263</v>
      </c>
      <c r="F621" s="67" t="s">
        <v>12</v>
      </c>
      <c r="G621" s="67" t="s">
        <v>4556</v>
      </c>
      <c r="H621" s="67" t="s">
        <v>4557</v>
      </c>
      <c r="I621" s="67" t="s">
        <v>161</v>
      </c>
      <c r="J621" s="67" t="s">
        <v>649</v>
      </c>
      <c r="K621" s="67" t="s">
        <v>161</v>
      </c>
      <c r="L621" s="67" t="s">
        <v>4558</v>
      </c>
      <c r="M621" s="67" t="s">
        <v>4559</v>
      </c>
      <c r="N621" s="67" t="s">
        <v>4559</v>
      </c>
      <c r="O621" s="67" t="s">
        <v>165</v>
      </c>
      <c r="P621" s="67" t="s">
        <v>4560</v>
      </c>
    </row>
    <row r="622" s="43" customFormat="1" hidden="1" customHeight="1" spans="1:16">
      <c r="A622" s="67" t="s">
        <v>4561</v>
      </c>
      <c r="B622" s="67">
        <v>50</v>
      </c>
      <c r="C622" s="67">
        <v>4</v>
      </c>
      <c r="D622" s="67" t="s">
        <v>4562</v>
      </c>
      <c r="E622" s="67" t="s">
        <v>4563</v>
      </c>
      <c r="F622" s="67" t="s">
        <v>12</v>
      </c>
      <c r="G622" s="67" t="s">
        <v>4564</v>
      </c>
      <c r="H622" s="67" t="s">
        <v>4565</v>
      </c>
      <c r="I622" s="67" t="s">
        <v>161</v>
      </c>
      <c r="J622" s="67" t="s">
        <v>649</v>
      </c>
      <c r="K622" s="67" t="s">
        <v>161</v>
      </c>
      <c r="L622" s="67" t="s">
        <v>4566</v>
      </c>
      <c r="M622" s="67" t="s">
        <v>4567</v>
      </c>
      <c r="N622" s="67" t="s">
        <v>4567</v>
      </c>
      <c r="O622" s="67" t="s">
        <v>165</v>
      </c>
      <c r="P622" s="67" t="s">
        <v>4568</v>
      </c>
    </row>
    <row r="623" s="43" customFormat="1" hidden="1" customHeight="1" spans="1:16">
      <c r="A623" s="67" t="s">
        <v>4569</v>
      </c>
      <c r="B623" s="67">
        <v>35.75</v>
      </c>
      <c r="C623" s="67">
        <v>4</v>
      </c>
      <c r="D623" s="67" t="s">
        <v>3376</v>
      </c>
      <c r="E623" s="67" t="s">
        <v>3377</v>
      </c>
      <c r="F623" s="67" t="s">
        <v>12</v>
      </c>
      <c r="G623" s="67" t="s">
        <v>4570</v>
      </c>
      <c r="H623" s="67" t="s">
        <v>4571</v>
      </c>
      <c r="I623" s="67" t="s">
        <v>161</v>
      </c>
      <c r="J623" s="67" t="s">
        <v>649</v>
      </c>
      <c r="K623" s="67" t="s">
        <v>161</v>
      </c>
      <c r="L623" s="67" t="s">
        <v>4572</v>
      </c>
      <c r="M623" s="67" t="s">
        <v>4573</v>
      </c>
      <c r="N623" s="67" t="s">
        <v>4573</v>
      </c>
      <c r="O623" s="67" t="s">
        <v>165</v>
      </c>
      <c r="P623" s="67" t="s">
        <v>4574</v>
      </c>
    </row>
    <row r="624" s="43" customFormat="1" hidden="1" customHeight="1" spans="1:16">
      <c r="A624" s="67" t="s">
        <v>4575</v>
      </c>
      <c r="B624" s="67">
        <v>17.69</v>
      </c>
      <c r="C624" s="67">
        <v>4</v>
      </c>
      <c r="D624" s="67" t="s">
        <v>3653</v>
      </c>
      <c r="E624" s="67" t="s">
        <v>3654</v>
      </c>
      <c r="F624" s="67" t="s">
        <v>12</v>
      </c>
      <c r="G624" s="67" t="s">
        <v>4576</v>
      </c>
      <c r="H624" s="67" t="s">
        <v>4577</v>
      </c>
      <c r="I624" s="67" t="s">
        <v>161</v>
      </c>
      <c r="J624" s="67" t="s">
        <v>649</v>
      </c>
      <c r="K624" s="67" t="s">
        <v>161</v>
      </c>
      <c r="L624" s="67" t="s">
        <v>4578</v>
      </c>
      <c r="M624" s="67" t="s">
        <v>4579</v>
      </c>
      <c r="N624" s="67" t="s">
        <v>4579</v>
      </c>
      <c r="O624" s="67" t="s">
        <v>165</v>
      </c>
      <c r="P624" s="67" t="s">
        <v>4580</v>
      </c>
    </row>
    <row r="625" s="43" customFormat="1" hidden="1" customHeight="1" spans="1:16">
      <c r="A625" s="67" t="s">
        <v>4581</v>
      </c>
      <c r="B625" s="67">
        <v>31.79</v>
      </c>
      <c r="C625" s="67">
        <v>3</v>
      </c>
      <c r="D625" s="67" t="s">
        <v>4582</v>
      </c>
      <c r="E625" s="67" t="s">
        <v>4583</v>
      </c>
      <c r="F625" s="67" t="s">
        <v>12</v>
      </c>
      <c r="G625" s="67" t="s">
        <v>4584</v>
      </c>
      <c r="H625" s="67" t="s">
        <v>4585</v>
      </c>
      <c r="I625" s="67" t="s">
        <v>161</v>
      </c>
      <c r="J625" s="67" t="s">
        <v>649</v>
      </c>
      <c r="K625" s="67" t="s">
        <v>161</v>
      </c>
      <c r="L625" s="67" t="s">
        <v>4586</v>
      </c>
      <c r="M625" s="67" t="s">
        <v>4587</v>
      </c>
      <c r="N625" s="67" t="s">
        <v>4587</v>
      </c>
      <c r="O625" s="67" t="s">
        <v>165</v>
      </c>
      <c r="P625" s="67" t="s">
        <v>4588</v>
      </c>
    </row>
    <row r="626" s="43" customFormat="1" hidden="1" customHeight="1" spans="1:16">
      <c r="A626" s="67" t="s">
        <v>4589</v>
      </c>
      <c r="B626" s="67">
        <v>18.74</v>
      </c>
      <c r="C626" s="67">
        <v>4</v>
      </c>
      <c r="D626" s="67" t="s">
        <v>4590</v>
      </c>
      <c r="E626" s="67" t="s">
        <v>4591</v>
      </c>
      <c r="F626" s="67" t="s">
        <v>12</v>
      </c>
      <c r="G626" s="67" t="s">
        <v>4592</v>
      </c>
      <c r="H626" s="67" t="s">
        <v>4593</v>
      </c>
      <c r="I626" s="67" t="s">
        <v>161</v>
      </c>
      <c r="J626" s="67" t="s">
        <v>649</v>
      </c>
      <c r="K626" s="67" t="s">
        <v>161</v>
      </c>
      <c r="L626" s="67" t="s">
        <v>4594</v>
      </c>
      <c r="M626" s="67" t="s">
        <v>4595</v>
      </c>
      <c r="N626" s="67" t="s">
        <v>4595</v>
      </c>
      <c r="O626" s="67" t="s">
        <v>165</v>
      </c>
      <c r="P626" s="67" t="s">
        <v>4596</v>
      </c>
    </row>
    <row r="627" s="43" customFormat="1" customHeight="1" spans="1:16">
      <c r="A627" s="67" t="s">
        <v>4597</v>
      </c>
      <c r="B627" s="67">
        <v>35.7</v>
      </c>
      <c r="C627" s="67">
        <v>4</v>
      </c>
      <c r="D627" s="67" t="s">
        <v>4598</v>
      </c>
      <c r="E627" s="67" t="s">
        <v>4599</v>
      </c>
      <c r="F627" s="67" t="s">
        <v>12</v>
      </c>
      <c r="G627" s="67" t="s">
        <v>4600</v>
      </c>
      <c r="H627" s="67" t="s">
        <v>4601</v>
      </c>
      <c r="I627" s="67" t="s">
        <v>161</v>
      </c>
      <c r="J627" s="67" t="s">
        <v>161</v>
      </c>
      <c r="K627" s="67" t="s">
        <v>161</v>
      </c>
      <c r="L627" s="67" t="s">
        <v>4602</v>
      </c>
      <c r="M627" s="67" t="s">
        <v>4603</v>
      </c>
      <c r="N627" s="67" t="s">
        <v>4603</v>
      </c>
      <c r="O627" s="67" t="s">
        <v>165</v>
      </c>
      <c r="P627" s="67" t="s">
        <v>4604</v>
      </c>
    </row>
    <row r="628" s="43" customFormat="1" hidden="1" customHeight="1" spans="1:16">
      <c r="A628" s="67" t="s">
        <v>4605</v>
      </c>
      <c r="B628" s="67">
        <v>26.89</v>
      </c>
      <c r="C628" s="67">
        <v>2</v>
      </c>
      <c r="D628" s="67" t="s">
        <v>3479</v>
      </c>
      <c r="E628" s="67" t="s">
        <v>3480</v>
      </c>
      <c r="F628" s="67" t="s">
        <v>12</v>
      </c>
      <c r="G628" s="67" t="s">
        <v>4606</v>
      </c>
      <c r="H628" s="67" t="s">
        <v>4607</v>
      </c>
      <c r="I628" s="67" t="s">
        <v>161</v>
      </c>
      <c r="J628" s="67" t="s">
        <v>649</v>
      </c>
      <c r="K628" s="67" t="s">
        <v>161</v>
      </c>
      <c r="L628" s="67" t="s">
        <v>4608</v>
      </c>
      <c r="M628" s="67" t="s">
        <v>4609</v>
      </c>
      <c r="N628" s="67" t="s">
        <v>4609</v>
      </c>
      <c r="O628" s="67" t="s">
        <v>165</v>
      </c>
      <c r="P628" s="67" t="s">
        <v>4610</v>
      </c>
    </row>
    <row r="629" s="43" customFormat="1" hidden="1" customHeight="1" spans="1:16">
      <c r="A629" s="67" t="s">
        <v>4611</v>
      </c>
      <c r="B629" s="67">
        <v>36.35</v>
      </c>
      <c r="C629" s="67">
        <v>8</v>
      </c>
      <c r="D629" s="67" t="s">
        <v>4612</v>
      </c>
      <c r="E629" s="67" t="s">
        <v>4613</v>
      </c>
      <c r="F629" s="67" t="s">
        <v>12</v>
      </c>
      <c r="G629" s="67" t="s">
        <v>4614</v>
      </c>
      <c r="H629" s="67" t="s">
        <v>4615</v>
      </c>
      <c r="I629" s="67" t="s">
        <v>161</v>
      </c>
      <c r="J629" s="67" t="s">
        <v>649</v>
      </c>
      <c r="K629" s="67" t="s">
        <v>161</v>
      </c>
      <c r="L629" s="67" t="s">
        <v>4616</v>
      </c>
      <c r="M629" s="67" t="s">
        <v>4617</v>
      </c>
      <c r="N629" s="67" t="s">
        <v>4617</v>
      </c>
      <c r="O629" s="67" t="s">
        <v>165</v>
      </c>
      <c r="P629" s="67" t="s">
        <v>4618</v>
      </c>
    </row>
    <row r="630" s="43" customFormat="1" customHeight="1" spans="1:16">
      <c r="A630" s="67" t="s">
        <v>4619</v>
      </c>
      <c r="B630" s="67">
        <v>28.01</v>
      </c>
      <c r="C630" s="67">
        <v>2</v>
      </c>
      <c r="D630" s="67" t="s">
        <v>3970</v>
      </c>
      <c r="E630" s="67" t="s">
        <v>3263</v>
      </c>
      <c r="F630" s="67" t="s">
        <v>90</v>
      </c>
      <c r="G630" s="67" t="s">
        <v>2989</v>
      </c>
      <c r="H630" s="67" t="s">
        <v>4620</v>
      </c>
      <c r="I630" s="67" t="s">
        <v>161</v>
      </c>
      <c r="J630" s="67" t="s">
        <v>161</v>
      </c>
      <c r="K630" s="67" t="s">
        <v>161</v>
      </c>
      <c r="L630" s="67" t="s">
        <v>4621</v>
      </c>
      <c r="M630" s="67" t="s">
        <v>4622</v>
      </c>
      <c r="N630" s="67" t="s">
        <v>4622</v>
      </c>
      <c r="O630" s="67" t="s">
        <v>165</v>
      </c>
      <c r="P630" s="67" t="s">
        <v>4623</v>
      </c>
    </row>
    <row r="631" s="171" customFormat="1" customHeight="1" spans="1:16">
      <c r="A631" s="67" t="s">
        <v>4624</v>
      </c>
      <c r="B631" s="67">
        <v>86.5</v>
      </c>
      <c r="C631" s="67">
        <v>7</v>
      </c>
      <c r="D631" s="67" t="s">
        <v>4625</v>
      </c>
      <c r="E631" s="67" t="s">
        <v>4626</v>
      </c>
      <c r="F631" s="67" t="s">
        <v>78</v>
      </c>
      <c r="G631" s="67" t="s">
        <v>4627</v>
      </c>
      <c r="H631" s="67" t="s">
        <v>161</v>
      </c>
      <c r="I631" s="67" t="s">
        <v>161</v>
      </c>
      <c r="J631" s="67" t="s">
        <v>161</v>
      </c>
      <c r="K631" s="67" t="s">
        <v>161</v>
      </c>
      <c r="L631" s="67" t="s">
        <v>4628</v>
      </c>
      <c r="M631" s="67" t="s">
        <v>4629</v>
      </c>
      <c r="N631" s="67" t="s">
        <v>4629</v>
      </c>
      <c r="O631" s="67" t="s">
        <v>165</v>
      </c>
      <c r="P631" s="67" t="s">
        <v>161</v>
      </c>
    </row>
    <row r="632" s="171" customFormat="1" customHeight="1" spans="1:16">
      <c r="A632" s="67" t="s">
        <v>4630</v>
      </c>
      <c r="B632" s="67">
        <v>56.73</v>
      </c>
      <c r="C632" s="67">
        <v>5</v>
      </c>
      <c r="D632" s="67" t="s">
        <v>4065</v>
      </c>
      <c r="E632" s="67" t="s">
        <v>4631</v>
      </c>
      <c r="F632" s="67" t="s">
        <v>98</v>
      </c>
      <c r="G632" s="67" t="s">
        <v>4632</v>
      </c>
      <c r="H632" s="67" t="s">
        <v>4633</v>
      </c>
      <c r="I632" s="67" t="s">
        <v>161</v>
      </c>
      <c r="J632" s="67" t="s">
        <v>161</v>
      </c>
      <c r="K632" s="67" t="s">
        <v>161</v>
      </c>
      <c r="L632" s="67" t="s">
        <v>4634</v>
      </c>
      <c r="M632" s="67" t="s">
        <v>4635</v>
      </c>
      <c r="N632" s="67" t="s">
        <v>4635</v>
      </c>
      <c r="O632" s="67" t="s">
        <v>165</v>
      </c>
      <c r="P632" s="67" t="s">
        <v>161</v>
      </c>
    </row>
    <row r="633" s="43" customFormat="1" hidden="1" customHeight="1" spans="1:16">
      <c r="A633" s="67" t="s">
        <v>4636</v>
      </c>
      <c r="B633" s="67">
        <v>26.89</v>
      </c>
      <c r="C633" s="67">
        <v>2</v>
      </c>
      <c r="D633" s="67" t="s">
        <v>3262</v>
      </c>
      <c r="E633" s="67" t="s">
        <v>3263</v>
      </c>
      <c r="F633" s="67" t="s">
        <v>12</v>
      </c>
      <c r="G633" s="67" t="s">
        <v>4637</v>
      </c>
      <c r="H633" s="67" t="s">
        <v>4638</v>
      </c>
      <c r="I633" s="67" t="s">
        <v>161</v>
      </c>
      <c r="J633" s="67" t="s">
        <v>649</v>
      </c>
      <c r="K633" s="67" t="s">
        <v>161</v>
      </c>
      <c r="L633" s="67" t="s">
        <v>4639</v>
      </c>
      <c r="M633" s="67" t="s">
        <v>4640</v>
      </c>
      <c r="N633" s="67" t="s">
        <v>4640</v>
      </c>
      <c r="O633" s="67" t="s">
        <v>165</v>
      </c>
      <c r="P633" s="67" t="s">
        <v>4641</v>
      </c>
    </row>
    <row r="634" s="43" customFormat="1" hidden="1" customHeight="1" spans="1:16">
      <c r="A634" s="67" t="s">
        <v>4642</v>
      </c>
      <c r="B634" s="67">
        <v>30.85</v>
      </c>
      <c r="C634" s="67">
        <v>3</v>
      </c>
      <c r="D634" s="67" t="s">
        <v>3597</v>
      </c>
      <c r="E634" s="67" t="s">
        <v>3598</v>
      </c>
      <c r="F634" s="67" t="s">
        <v>12</v>
      </c>
      <c r="G634" s="67" t="s">
        <v>4643</v>
      </c>
      <c r="H634" s="67" t="s">
        <v>4644</v>
      </c>
      <c r="I634" s="67" t="s">
        <v>161</v>
      </c>
      <c r="J634" s="67" t="s">
        <v>649</v>
      </c>
      <c r="K634" s="67" t="s">
        <v>161</v>
      </c>
      <c r="L634" s="67" t="s">
        <v>4645</v>
      </c>
      <c r="M634" s="67" t="s">
        <v>4646</v>
      </c>
      <c r="N634" s="67" t="s">
        <v>4646</v>
      </c>
      <c r="O634" s="67" t="s">
        <v>165</v>
      </c>
      <c r="P634" s="67" t="s">
        <v>4647</v>
      </c>
    </row>
    <row r="635" s="43" customFormat="1" customHeight="1" spans="1:16">
      <c r="A635" s="67" t="s">
        <v>4648</v>
      </c>
      <c r="B635" s="67">
        <v>51.36</v>
      </c>
      <c r="C635" s="67">
        <v>4</v>
      </c>
      <c r="D635" s="67" t="s">
        <v>3992</v>
      </c>
      <c r="E635" s="67" t="s">
        <v>3993</v>
      </c>
      <c r="F635" s="67" t="s">
        <v>98</v>
      </c>
      <c r="G635" s="67" t="s">
        <v>4649</v>
      </c>
      <c r="H635" s="67" t="s">
        <v>4650</v>
      </c>
      <c r="I635" s="67" t="s">
        <v>161</v>
      </c>
      <c r="J635" s="67" t="s">
        <v>161</v>
      </c>
      <c r="K635" s="67" t="s">
        <v>161</v>
      </c>
      <c r="L635" s="67" t="s">
        <v>4651</v>
      </c>
      <c r="M635" s="67" t="s">
        <v>4652</v>
      </c>
      <c r="N635" s="67" t="s">
        <v>4652</v>
      </c>
      <c r="O635" s="67" t="s">
        <v>165</v>
      </c>
      <c r="P635" s="67" t="s">
        <v>4653</v>
      </c>
    </row>
    <row r="636" s="43" customFormat="1" customHeight="1" spans="1:16">
      <c r="A636" s="67" t="s">
        <v>4654</v>
      </c>
      <c r="B636" s="67">
        <v>33.92</v>
      </c>
      <c r="C636" s="67">
        <v>4</v>
      </c>
      <c r="D636" s="67" t="s">
        <v>4396</v>
      </c>
      <c r="E636" s="67" t="s">
        <v>4655</v>
      </c>
      <c r="F636" s="67" t="s">
        <v>12</v>
      </c>
      <c r="G636" s="67" t="s">
        <v>4656</v>
      </c>
      <c r="H636" s="67" t="s">
        <v>4657</v>
      </c>
      <c r="I636" s="67" t="s">
        <v>161</v>
      </c>
      <c r="J636" s="67" t="s">
        <v>161</v>
      </c>
      <c r="K636" s="67" t="s">
        <v>161</v>
      </c>
      <c r="L636" s="67" t="s">
        <v>4658</v>
      </c>
      <c r="M636" s="67" t="s">
        <v>4659</v>
      </c>
      <c r="N636" s="67" t="s">
        <v>4659</v>
      </c>
      <c r="O636" s="67" t="s">
        <v>165</v>
      </c>
      <c r="P636" s="67" t="s">
        <v>4660</v>
      </c>
    </row>
    <row r="637" s="43" customFormat="1" hidden="1" customHeight="1" spans="1:16">
      <c r="A637" s="67" t="s">
        <v>4661</v>
      </c>
      <c r="B637" s="67">
        <v>11.89</v>
      </c>
      <c r="C637" s="67">
        <v>2</v>
      </c>
      <c r="D637" s="67" t="s">
        <v>4106</v>
      </c>
      <c r="E637" s="67" t="s">
        <v>3654</v>
      </c>
      <c r="F637" s="67" t="s">
        <v>12</v>
      </c>
      <c r="G637" s="67" t="s">
        <v>4662</v>
      </c>
      <c r="H637" s="67" t="s">
        <v>4663</v>
      </c>
      <c r="I637" s="67" t="s">
        <v>161</v>
      </c>
      <c r="J637" s="67" t="s">
        <v>649</v>
      </c>
      <c r="K637" s="67" t="s">
        <v>161</v>
      </c>
      <c r="L637" s="67" t="s">
        <v>4664</v>
      </c>
      <c r="M637" s="67" t="s">
        <v>4665</v>
      </c>
      <c r="N637" s="67" t="s">
        <v>4665</v>
      </c>
      <c r="O637" s="67" t="s">
        <v>165</v>
      </c>
      <c r="P637" s="67" t="s">
        <v>4666</v>
      </c>
    </row>
    <row r="638" s="43" customFormat="1" hidden="1" customHeight="1" spans="1:16">
      <c r="A638" s="67" t="s">
        <v>4667</v>
      </c>
      <c r="B638" s="67">
        <v>26.89</v>
      </c>
      <c r="C638" s="67">
        <v>2</v>
      </c>
      <c r="D638" s="67" t="s">
        <v>3581</v>
      </c>
      <c r="E638" s="67" t="s">
        <v>3582</v>
      </c>
      <c r="F638" s="67" t="s">
        <v>12</v>
      </c>
      <c r="G638" s="67" t="s">
        <v>4668</v>
      </c>
      <c r="H638" s="67" t="s">
        <v>4669</v>
      </c>
      <c r="I638" s="67" t="s">
        <v>161</v>
      </c>
      <c r="J638" s="67" t="s">
        <v>649</v>
      </c>
      <c r="K638" s="67" t="s">
        <v>161</v>
      </c>
      <c r="L638" s="67" t="s">
        <v>4670</v>
      </c>
      <c r="M638" s="67" t="s">
        <v>4671</v>
      </c>
      <c r="N638" s="67" t="s">
        <v>4671</v>
      </c>
      <c r="O638" s="67" t="s">
        <v>165</v>
      </c>
      <c r="P638" s="67" t="s">
        <v>4672</v>
      </c>
    </row>
    <row r="639" s="43" customFormat="1" hidden="1" customHeight="1" spans="1:16">
      <c r="A639" s="67" t="s">
        <v>4673</v>
      </c>
      <c r="B639" s="67">
        <v>47.8</v>
      </c>
      <c r="C639" s="67">
        <v>4</v>
      </c>
      <c r="D639" s="67" t="s">
        <v>4674</v>
      </c>
      <c r="E639" s="67" t="s">
        <v>4675</v>
      </c>
      <c r="F639" s="67" t="s">
        <v>12</v>
      </c>
      <c r="G639" s="67" t="s">
        <v>4676</v>
      </c>
      <c r="H639" s="67" t="s">
        <v>4677</v>
      </c>
      <c r="I639" s="67" t="s">
        <v>161</v>
      </c>
      <c r="J639" s="67" t="s">
        <v>649</v>
      </c>
      <c r="K639" s="67" t="s">
        <v>161</v>
      </c>
      <c r="L639" s="67" t="s">
        <v>4678</v>
      </c>
      <c r="M639" s="67" t="s">
        <v>4679</v>
      </c>
      <c r="N639" s="67" t="s">
        <v>4679</v>
      </c>
      <c r="O639" s="67" t="s">
        <v>165</v>
      </c>
      <c r="P639" s="67" t="s">
        <v>4680</v>
      </c>
    </row>
    <row r="640" s="43" customFormat="1" hidden="1" customHeight="1" spans="1:16">
      <c r="A640" s="67" t="s">
        <v>4681</v>
      </c>
      <c r="B640" s="67">
        <v>26.89</v>
      </c>
      <c r="C640" s="67">
        <v>2</v>
      </c>
      <c r="D640" s="67" t="s">
        <v>3581</v>
      </c>
      <c r="E640" s="67" t="s">
        <v>3582</v>
      </c>
      <c r="F640" s="67" t="s">
        <v>12</v>
      </c>
      <c r="G640" s="67" t="s">
        <v>4682</v>
      </c>
      <c r="H640" s="67" t="s">
        <v>4683</v>
      </c>
      <c r="I640" s="67" t="s">
        <v>161</v>
      </c>
      <c r="J640" s="67" t="s">
        <v>649</v>
      </c>
      <c r="K640" s="67" t="s">
        <v>161</v>
      </c>
      <c r="L640" s="67" t="s">
        <v>4684</v>
      </c>
      <c r="M640" s="67" t="s">
        <v>4685</v>
      </c>
      <c r="N640" s="67" t="s">
        <v>4685</v>
      </c>
      <c r="O640" s="67" t="s">
        <v>165</v>
      </c>
      <c r="P640" s="67" t="s">
        <v>4686</v>
      </c>
    </row>
    <row r="641" s="43" customFormat="1" hidden="1" customHeight="1" spans="1:16">
      <c r="A641" s="67" t="s">
        <v>4687</v>
      </c>
      <c r="B641" s="67">
        <v>55.25</v>
      </c>
      <c r="C641" s="67">
        <v>4</v>
      </c>
      <c r="D641" s="67" t="s">
        <v>4688</v>
      </c>
      <c r="E641" s="67" t="s">
        <v>4689</v>
      </c>
      <c r="F641" s="67" t="s">
        <v>12</v>
      </c>
      <c r="G641" s="67" t="s">
        <v>4690</v>
      </c>
      <c r="H641" s="67" t="s">
        <v>4691</v>
      </c>
      <c r="I641" s="67" t="s">
        <v>161</v>
      </c>
      <c r="J641" s="67" t="s">
        <v>649</v>
      </c>
      <c r="K641" s="67" t="s">
        <v>161</v>
      </c>
      <c r="L641" s="67" t="s">
        <v>4692</v>
      </c>
      <c r="M641" s="67" t="s">
        <v>4693</v>
      </c>
      <c r="N641" s="67" t="s">
        <v>4693</v>
      </c>
      <c r="O641" s="67" t="s">
        <v>165</v>
      </c>
      <c r="P641" s="67" t="s">
        <v>4694</v>
      </c>
    </row>
    <row r="642" s="43" customFormat="1" hidden="1" customHeight="1" spans="1:16">
      <c r="A642" s="67" t="s">
        <v>4695</v>
      </c>
      <c r="B642" s="67">
        <v>26.89</v>
      </c>
      <c r="C642" s="67">
        <v>2</v>
      </c>
      <c r="D642" s="67" t="s">
        <v>3683</v>
      </c>
      <c r="E642" s="67" t="s">
        <v>3684</v>
      </c>
      <c r="F642" s="67" t="s">
        <v>12</v>
      </c>
      <c r="G642" s="67" t="s">
        <v>4696</v>
      </c>
      <c r="H642" s="67" t="s">
        <v>4697</v>
      </c>
      <c r="I642" s="67" t="s">
        <v>161</v>
      </c>
      <c r="J642" s="67" t="s">
        <v>649</v>
      </c>
      <c r="K642" s="67" t="s">
        <v>161</v>
      </c>
      <c r="L642" s="67" t="s">
        <v>4698</v>
      </c>
      <c r="M642" s="67" t="s">
        <v>4699</v>
      </c>
      <c r="N642" s="67" t="s">
        <v>4699</v>
      </c>
      <c r="O642" s="67" t="s">
        <v>165</v>
      </c>
      <c r="P642" s="67" t="s">
        <v>4700</v>
      </c>
    </row>
    <row r="643" s="43" customFormat="1" hidden="1" customHeight="1" spans="1:16">
      <c r="A643" s="67" t="s">
        <v>4701</v>
      </c>
      <c r="B643" s="67">
        <v>33.97</v>
      </c>
      <c r="C643" s="67">
        <v>4</v>
      </c>
      <c r="D643" s="67" t="s">
        <v>4702</v>
      </c>
      <c r="E643" s="67" t="s">
        <v>4703</v>
      </c>
      <c r="F643" s="67" t="s">
        <v>12</v>
      </c>
      <c r="G643" s="67" t="s">
        <v>4704</v>
      </c>
      <c r="H643" s="67" t="s">
        <v>4705</v>
      </c>
      <c r="I643" s="67" t="s">
        <v>161</v>
      </c>
      <c r="J643" s="67" t="s">
        <v>649</v>
      </c>
      <c r="K643" s="67" t="s">
        <v>161</v>
      </c>
      <c r="L643" s="67" t="s">
        <v>4706</v>
      </c>
      <c r="M643" s="67" t="s">
        <v>4707</v>
      </c>
      <c r="N643" s="67" t="s">
        <v>4707</v>
      </c>
      <c r="O643" s="67" t="s">
        <v>165</v>
      </c>
      <c r="P643" s="67" t="s">
        <v>4708</v>
      </c>
    </row>
    <row r="644" s="43" customFormat="1" hidden="1" customHeight="1" spans="1:16">
      <c r="A644" s="67" t="s">
        <v>4709</v>
      </c>
      <c r="B644" s="67">
        <v>54.75</v>
      </c>
      <c r="C644" s="67">
        <v>5</v>
      </c>
      <c r="D644" s="67" t="s">
        <v>4710</v>
      </c>
      <c r="E644" s="67" t="s">
        <v>4711</v>
      </c>
      <c r="F644" s="67" t="s">
        <v>12</v>
      </c>
      <c r="G644" s="67" t="s">
        <v>4712</v>
      </c>
      <c r="H644" s="67" t="s">
        <v>4713</v>
      </c>
      <c r="I644" s="67" t="s">
        <v>161</v>
      </c>
      <c r="J644" s="67" t="s">
        <v>649</v>
      </c>
      <c r="K644" s="67" t="s">
        <v>161</v>
      </c>
      <c r="L644" s="67" t="s">
        <v>4714</v>
      </c>
      <c r="M644" s="67" t="s">
        <v>4715</v>
      </c>
      <c r="N644" s="67" t="s">
        <v>4715</v>
      </c>
      <c r="O644" s="67" t="s">
        <v>165</v>
      </c>
      <c r="P644" s="67" t="s">
        <v>4716</v>
      </c>
    </row>
    <row r="645" s="43" customFormat="1" hidden="1" customHeight="1" spans="1:16">
      <c r="A645" s="67" t="s">
        <v>4717</v>
      </c>
      <c r="B645" s="67">
        <v>35.75</v>
      </c>
      <c r="C645" s="67">
        <v>4</v>
      </c>
      <c r="D645" s="67" t="s">
        <v>4718</v>
      </c>
      <c r="E645" s="67" t="s">
        <v>4719</v>
      </c>
      <c r="F645" s="67" t="s">
        <v>12</v>
      </c>
      <c r="G645" s="67" t="s">
        <v>4720</v>
      </c>
      <c r="H645" s="67" t="s">
        <v>4721</v>
      </c>
      <c r="I645" s="67" t="s">
        <v>161</v>
      </c>
      <c r="J645" s="67" t="s">
        <v>649</v>
      </c>
      <c r="K645" s="67" t="s">
        <v>161</v>
      </c>
      <c r="L645" s="67" t="s">
        <v>4722</v>
      </c>
      <c r="M645" s="67" t="s">
        <v>4723</v>
      </c>
      <c r="N645" s="67" t="s">
        <v>4723</v>
      </c>
      <c r="O645" s="67" t="s">
        <v>165</v>
      </c>
      <c r="P645" s="67" t="s">
        <v>4724</v>
      </c>
    </row>
    <row r="646" s="171" customFormat="1" customHeight="1" spans="1:16">
      <c r="A646" s="67" t="s">
        <v>4725</v>
      </c>
      <c r="B646" s="67">
        <v>45.99</v>
      </c>
      <c r="C646" s="67">
        <v>4</v>
      </c>
      <c r="D646" s="67" t="s">
        <v>4726</v>
      </c>
      <c r="E646" s="67" t="s">
        <v>4727</v>
      </c>
      <c r="F646" s="67" t="s">
        <v>98</v>
      </c>
      <c r="G646" s="67" t="s">
        <v>4728</v>
      </c>
      <c r="H646" s="67" t="s">
        <v>4729</v>
      </c>
      <c r="I646" s="67" t="s">
        <v>161</v>
      </c>
      <c r="J646" s="67" t="s">
        <v>161</v>
      </c>
      <c r="K646" s="67" t="s">
        <v>161</v>
      </c>
      <c r="L646" s="67" t="s">
        <v>4730</v>
      </c>
      <c r="M646" s="67" t="s">
        <v>4731</v>
      </c>
      <c r="N646" s="67" t="s">
        <v>4731</v>
      </c>
      <c r="O646" s="67" t="s">
        <v>165</v>
      </c>
      <c r="P646" s="67" t="s">
        <v>161</v>
      </c>
    </row>
    <row r="647" s="43" customFormat="1" customHeight="1" spans="1:16">
      <c r="A647" s="67" t="s">
        <v>4732</v>
      </c>
      <c r="B647" s="67">
        <v>42.65</v>
      </c>
      <c r="C647" s="67">
        <v>5</v>
      </c>
      <c r="D647" s="67" t="s">
        <v>3303</v>
      </c>
      <c r="E647" s="67" t="s">
        <v>4733</v>
      </c>
      <c r="F647" s="67" t="s">
        <v>12</v>
      </c>
      <c r="G647" s="67" t="s">
        <v>4734</v>
      </c>
      <c r="H647" s="67" t="s">
        <v>4735</v>
      </c>
      <c r="I647" s="67" t="s">
        <v>161</v>
      </c>
      <c r="J647" s="67" t="s">
        <v>161</v>
      </c>
      <c r="K647" s="67" t="s">
        <v>161</v>
      </c>
      <c r="L647" s="67" t="s">
        <v>4736</v>
      </c>
      <c r="M647" s="67" t="s">
        <v>4737</v>
      </c>
      <c r="N647" s="67" t="s">
        <v>4737</v>
      </c>
      <c r="O647" s="67" t="s">
        <v>165</v>
      </c>
      <c r="P647" s="67" t="s">
        <v>4738</v>
      </c>
    </row>
    <row r="648" s="43" customFormat="1" hidden="1" customHeight="1" spans="1:16">
      <c r="A648" s="67" t="s">
        <v>4739</v>
      </c>
      <c r="B648" s="67">
        <v>26.89</v>
      </c>
      <c r="C648" s="67">
        <v>2</v>
      </c>
      <c r="D648" s="67" t="s">
        <v>3728</v>
      </c>
      <c r="E648" s="67" t="s">
        <v>3729</v>
      </c>
      <c r="F648" s="67" t="s">
        <v>12</v>
      </c>
      <c r="G648" s="67" t="s">
        <v>4740</v>
      </c>
      <c r="H648" s="67" t="s">
        <v>4741</v>
      </c>
      <c r="I648" s="67" t="s">
        <v>161</v>
      </c>
      <c r="J648" s="67" t="s">
        <v>649</v>
      </c>
      <c r="K648" s="67" t="s">
        <v>161</v>
      </c>
      <c r="L648" s="67" t="s">
        <v>4742</v>
      </c>
      <c r="M648" s="67" t="s">
        <v>4743</v>
      </c>
      <c r="N648" s="67" t="s">
        <v>4743</v>
      </c>
      <c r="O648" s="67" t="s">
        <v>165</v>
      </c>
      <c r="P648" s="67" t="s">
        <v>4744</v>
      </c>
    </row>
    <row r="649" s="43" customFormat="1" customHeight="1" spans="1:16">
      <c r="A649" s="67" t="s">
        <v>4745</v>
      </c>
      <c r="B649" s="67">
        <v>30.95</v>
      </c>
      <c r="C649" s="67">
        <v>3</v>
      </c>
      <c r="D649" s="67" t="s">
        <v>4746</v>
      </c>
      <c r="E649" s="67" t="s">
        <v>4747</v>
      </c>
      <c r="F649" s="67" t="s">
        <v>98</v>
      </c>
      <c r="G649" s="67" t="s">
        <v>4748</v>
      </c>
      <c r="H649" s="67" t="s">
        <v>4749</v>
      </c>
      <c r="I649" s="67" t="s">
        <v>161</v>
      </c>
      <c r="J649" s="67" t="s">
        <v>161</v>
      </c>
      <c r="K649" s="67" t="s">
        <v>161</v>
      </c>
      <c r="L649" s="67" t="s">
        <v>4750</v>
      </c>
      <c r="M649" s="67" t="s">
        <v>4751</v>
      </c>
      <c r="N649" s="67" t="s">
        <v>4751</v>
      </c>
      <c r="O649" s="67" t="s">
        <v>165</v>
      </c>
      <c r="P649" s="67" t="s">
        <v>4752</v>
      </c>
    </row>
    <row r="650" s="43" customFormat="1" hidden="1" customHeight="1" spans="1:16">
      <c r="A650" s="67" t="s">
        <v>4753</v>
      </c>
      <c r="B650" s="67">
        <v>31.79</v>
      </c>
      <c r="C650" s="67">
        <v>3</v>
      </c>
      <c r="D650" s="67" t="s">
        <v>4754</v>
      </c>
      <c r="E650" s="67" t="s">
        <v>4755</v>
      </c>
      <c r="F650" s="67" t="s">
        <v>12</v>
      </c>
      <c r="G650" s="67" t="s">
        <v>4756</v>
      </c>
      <c r="H650" s="67" t="s">
        <v>4757</v>
      </c>
      <c r="I650" s="67" t="s">
        <v>161</v>
      </c>
      <c r="J650" s="67" t="s">
        <v>649</v>
      </c>
      <c r="K650" s="67" t="s">
        <v>161</v>
      </c>
      <c r="L650" s="67" t="s">
        <v>4758</v>
      </c>
      <c r="M650" s="67" t="s">
        <v>4759</v>
      </c>
      <c r="N650" s="67" t="s">
        <v>4759</v>
      </c>
      <c r="O650" s="67" t="s">
        <v>165</v>
      </c>
      <c r="P650" s="67" t="s">
        <v>4760</v>
      </c>
    </row>
    <row r="651" s="43" customFormat="1" hidden="1" customHeight="1" spans="1:16">
      <c r="A651" s="67" t="s">
        <v>4761</v>
      </c>
      <c r="B651" s="67">
        <v>47.8</v>
      </c>
      <c r="C651" s="67">
        <v>4</v>
      </c>
      <c r="D651" s="67" t="s">
        <v>4762</v>
      </c>
      <c r="E651" s="67" t="s">
        <v>4763</v>
      </c>
      <c r="F651" s="67" t="s">
        <v>12</v>
      </c>
      <c r="G651" s="67" t="s">
        <v>4764</v>
      </c>
      <c r="H651" s="67" t="s">
        <v>4765</v>
      </c>
      <c r="I651" s="67" t="s">
        <v>161</v>
      </c>
      <c r="J651" s="67" t="s">
        <v>649</v>
      </c>
      <c r="K651" s="67" t="s">
        <v>161</v>
      </c>
      <c r="L651" s="67" t="s">
        <v>4766</v>
      </c>
      <c r="M651" s="67" t="s">
        <v>4767</v>
      </c>
      <c r="N651" s="67" t="s">
        <v>4767</v>
      </c>
      <c r="O651" s="67" t="s">
        <v>165</v>
      </c>
      <c r="P651" s="67" t="s">
        <v>4768</v>
      </c>
    </row>
    <row r="652" s="43" customFormat="1" hidden="1" customHeight="1" spans="1:16">
      <c r="A652" s="67" t="s">
        <v>4769</v>
      </c>
      <c r="B652" s="67">
        <v>47.8</v>
      </c>
      <c r="C652" s="67">
        <v>4</v>
      </c>
      <c r="D652" s="67" t="s">
        <v>4770</v>
      </c>
      <c r="E652" s="67" t="s">
        <v>4771</v>
      </c>
      <c r="F652" s="67" t="s">
        <v>12</v>
      </c>
      <c r="G652" s="67" t="s">
        <v>4772</v>
      </c>
      <c r="H652" s="67" t="s">
        <v>4773</v>
      </c>
      <c r="I652" s="67" t="s">
        <v>161</v>
      </c>
      <c r="J652" s="67" t="s">
        <v>649</v>
      </c>
      <c r="K652" s="67" t="s">
        <v>161</v>
      </c>
      <c r="L652" s="67" t="s">
        <v>4774</v>
      </c>
      <c r="M652" s="67" t="s">
        <v>4775</v>
      </c>
      <c r="N652" s="67" t="s">
        <v>4775</v>
      </c>
      <c r="O652" s="67" t="s">
        <v>165</v>
      </c>
      <c r="P652" s="67" t="s">
        <v>4776</v>
      </c>
    </row>
    <row r="653" s="43" customFormat="1" customHeight="1" spans="1:16">
      <c r="A653" s="67" t="s">
        <v>4777</v>
      </c>
      <c r="B653" s="67">
        <v>35.7</v>
      </c>
      <c r="C653" s="67">
        <v>4</v>
      </c>
      <c r="D653" s="67" t="s">
        <v>3271</v>
      </c>
      <c r="E653" s="67" t="s">
        <v>4778</v>
      </c>
      <c r="F653" s="67" t="s">
        <v>12</v>
      </c>
      <c r="G653" s="67" t="s">
        <v>4779</v>
      </c>
      <c r="H653" s="67" t="s">
        <v>4780</v>
      </c>
      <c r="I653" s="67" t="s">
        <v>161</v>
      </c>
      <c r="J653" s="67" t="s">
        <v>161</v>
      </c>
      <c r="K653" s="67" t="s">
        <v>161</v>
      </c>
      <c r="L653" s="67" t="s">
        <v>4781</v>
      </c>
      <c r="M653" s="67" t="s">
        <v>4782</v>
      </c>
      <c r="N653" s="67" t="s">
        <v>4782</v>
      </c>
      <c r="O653" s="67" t="s">
        <v>165</v>
      </c>
      <c r="P653" s="67" t="s">
        <v>4783</v>
      </c>
    </row>
    <row r="654" s="43" customFormat="1" hidden="1" customHeight="1" spans="1:16">
      <c r="A654" s="67" t="s">
        <v>4784</v>
      </c>
      <c r="B654" s="67">
        <v>31.65</v>
      </c>
      <c r="C654" s="67">
        <v>5</v>
      </c>
      <c r="D654" s="67" t="s">
        <v>4785</v>
      </c>
      <c r="E654" s="67" t="s">
        <v>4786</v>
      </c>
      <c r="F654" s="67" t="s">
        <v>12</v>
      </c>
      <c r="G654" s="67" t="s">
        <v>4787</v>
      </c>
      <c r="H654" s="67" t="s">
        <v>4788</v>
      </c>
      <c r="I654" s="67" t="s">
        <v>161</v>
      </c>
      <c r="J654" s="67" t="s">
        <v>649</v>
      </c>
      <c r="K654" s="67" t="s">
        <v>161</v>
      </c>
      <c r="L654" s="67" t="s">
        <v>4789</v>
      </c>
      <c r="M654" s="67" t="s">
        <v>4790</v>
      </c>
      <c r="N654" s="67" t="s">
        <v>4790</v>
      </c>
      <c r="O654" s="67" t="s">
        <v>165</v>
      </c>
      <c r="P654" s="67" t="s">
        <v>4791</v>
      </c>
    </row>
    <row r="655" s="43" customFormat="1" customHeight="1" spans="1:16">
      <c r="A655" s="67" t="s">
        <v>4792</v>
      </c>
      <c r="B655" s="67">
        <v>45.18</v>
      </c>
      <c r="C655" s="67">
        <v>6</v>
      </c>
      <c r="D655" s="67" t="s">
        <v>4793</v>
      </c>
      <c r="E655" s="67" t="s">
        <v>4794</v>
      </c>
      <c r="F655" s="67" t="s">
        <v>12</v>
      </c>
      <c r="G655" s="67" t="s">
        <v>4795</v>
      </c>
      <c r="H655" s="67" t="s">
        <v>4796</v>
      </c>
      <c r="I655" s="67" t="s">
        <v>161</v>
      </c>
      <c r="J655" s="67" t="s">
        <v>161</v>
      </c>
      <c r="K655" s="67" t="s">
        <v>161</v>
      </c>
      <c r="L655" s="67" t="s">
        <v>4797</v>
      </c>
      <c r="M655" s="67" t="s">
        <v>4798</v>
      </c>
      <c r="N655" s="67" t="s">
        <v>4798</v>
      </c>
      <c r="O655" s="67" t="s">
        <v>165</v>
      </c>
      <c r="P655" s="67" t="s">
        <v>4799</v>
      </c>
    </row>
    <row r="656" s="43" customFormat="1" customHeight="1" spans="1:16">
      <c r="A656" s="67" t="s">
        <v>4800</v>
      </c>
      <c r="B656" s="67">
        <v>76.82</v>
      </c>
      <c r="C656" s="67">
        <v>8</v>
      </c>
      <c r="D656" s="67" t="s">
        <v>4801</v>
      </c>
      <c r="E656" s="67" t="s">
        <v>4802</v>
      </c>
      <c r="F656" s="67" t="s">
        <v>98</v>
      </c>
      <c r="G656" s="67" t="s">
        <v>4803</v>
      </c>
      <c r="H656" s="67" t="s">
        <v>4804</v>
      </c>
      <c r="I656" s="67" t="s">
        <v>161</v>
      </c>
      <c r="J656" s="67" t="s">
        <v>161</v>
      </c>
      <c r="K656" s="67" t="s">
        <v>161</v>
      </c>
      <c r="L656" s="67" t="s">
        <v>4805</v>
      </c>
      <c r="M656" s="67" t="s">
        <v>4806</v>
      </c>
      <c r="N656" s="67" t="s">
        <v>4806</v>
      </c>
      <c r="O656" s="67" t="s">
        <v>165</v>
      </c>
      <c r="P656" s="67" t="s">
        <v>4807</v>
      </c>
    </row>
    <row r="657" s="43" customFormat="1" hidden="1" customHeight="1" spans="1:16">
      <c r="A657" s="67" t="s">
        <v>4808</v>
      </c>
      <c r="B657" s="67">
        <v>59.65</v>
      </c>
      <c r="C657" s="67">
        <v>6</v>
      </c>
      <c r="D657" s="67" t="s">
        <v>4809</v>
      </c>
      <c r="E657" s="67" t="s">
        <v>4810</v>
      </c>
      <c r="F657" s="67" t="s">
        <v>12</v>
      </c>
      <c r="G657" s="67" t="s">
        <v>4811</v>
      </c>
      <c r="H657" s="67" t="s">
        <v>4812</v>
      </c>
      <c r="I657" s="67" t="s">
        <v>161</v>
      </c>
      <c r="J657" s="67" t="s">
        <v>649</v>
      </c>
      <c r="K657" s="67" t="s">
        <v>161</v>
      </c>
      <c r="L657" s="67" t="s">
        <v>4813</v>
      </c>
      <c r="M657" s="67" t="s">
        <v>4814</v>
      </c>
      <c r="N657" s="67" t="s">
        <v>4814</v>
      </c>
      <c r="O657" s="67" t="s">
        <v>165</v>
      </c>
      <c r="P657" s="67" t="s">
        <v>4815</v>
      </c>
    </row>
    <row r="658" s="43" customFormat="1" hidden="1" customHeight="1" spans="1:16">
      <c r="A658" s="67" t="s">
        <v>4816</v>
      </c>
      <c r="B658" s="67">
        <v>30.85</v>
      </c>
      <c r="C658" s="67">
        <v>3</v>
      </c>
      <c r="D658" s="67" t="s">
        <v>4817</v>
      </c>
      <c r="E658" s="67" t="s">
        <v>4818</v>
      </c>
      <c r="F658" s="67" t="s">
        <v>12</v>
      </c>
      <c r="G658" s="67" t="s">
        <v>4819</v>
      </c>
      <c r="H658" s="67" t="s">
        <v>4820</v>
      </c>
      <c r="I658" s="67" t="s">
        <v>161</v>
      </c>
      <c r="J658" s="67" t="s">
        <v>649</v>
      </c>
      <c r="K658" s="67" t="s">
        <v>161</v>
      </c>
      <c r="L658" s="67" t="s">
        <v>4821</v>
      </c>
      <c r="M658" s="67" t="s">
        <v>4822</v>
      </c>
      <c r="N658" s="67" t="s">
        <v>4822</v>
      </c>
      <c r="O658" s="67" t="s">
        <v>165</v>
      </c>
      <c r="P658" s="67" t="s">
        <v>4823</v>
      </c>
    </row>
    <row r="659" s="43" customFormat="1" customHeight="1" spans="1:16">
      <c r="A659" s="67" t="s">
        <v>4824</v>
      </c>
      <c r="B659" s="67">
        <v>30.8</v>
      </c>
      <c r="C659" s="67">
        <v>3</v>
      </c>
      <c r="D659" s="67" t="s">
        <v>4233</v>
      </c>
      <c r="E659" s="67" t="s">
        <v>4825</v>
      </c>
      <c r="F659" s="67" t="s">
        <v>12</v>
      </c>
      <c r="G659" s="67" t="s">
        <v>4826</v>
      </c>
      <c r="H659" s="67" t="s">
        <v>4827</v>
      </c>
      <c r="I659" s="67" t="s">
        <v>161</v>
      </c>
      <c r="J659" s="67" t="s">
        <v>161</v>
      </c>
      <c r="K659" s="67" t="s">
        <v>161</v>
      </c>
      <c r="L659" s="67" t="s">
        <v>4828</v>
      </c>
      <c r="M659" s="67" t="s">
        <v>4829</v>
      </c>
      <c r="N659" s="67" t="s">
        <v>4829</v>
      </c>
      <c r="O659" s="67" t="s">
        <v>165</v>
      </c>
      <c r="P659" s="67" t="s">
        <v>4830</v>
      </c>
    </row>
    <row r="660" s="43" customFormat="1" customHeight="1" spans="1:16">
      <c r="A660" s="67" t="s">
        <v>4831</v>
      </c>
      <c r="B660" s="67">
        <v>57.27</v>
      </c>
      <c r="C660" s="67">
        <v>5</v>
      </c>
      <c r="D660" s="67" t="s">
        <v>4832</v>
      </c>
      <c r="E660" s="67" t="s">
        <v>4833</v>
      </c>
      <c r="F660" s="67" t="s">
        <v>90</v>
      </c>
      <c r="G660" s="67" t="s">
        <v>4834</v>
      </c>
      <c r="H660" s="67" t="s">
        <v>4835</v>
      </c>
      <c r="I660" s="67" t="s">
        <v>161</v>
      </c>
      <c r="J660" s="67" t="s">
        <v>161</v>
      </c>
      <c r="K660" s="67" t="s">
        <v>161</v>
      </c>
      <c r="L660" s="67" t="s">
        <v>4836</v>
      </c>
      <c r="M660" s="67" t="s">
        <v>4837</v>
      </c>
      <c r="N660" s="67" t="s">
        <v>4837</v>
      </c>
      <c r="O660" s="67" t="s">
        <v>165</v>
      </c>
      <c r="P660" s="67" t="s">
        <v>4838</v>
      </c>
    </row>
    <row r="661" s="171" customFormat="1" customHeight="1" spans="1:16">
      <c r="A661" s="67" t="s">
        <v>4839</v>
      </c>
      <c r="B661" s="67">
        <v>52.7</v>
      </c>
      <c r="C661" s="67">
        <v>5</v>
      </c>
      <c r="D661" s="67" t="s">
        <v>4840</v>
      </c>
      <c r="E661" s="67" t="s">
        <v>4841</v>
      </c>
      <c r="F661" s="67" t="s">
        <v>78</v>
      </c>
      <c r="G661" s="67" t="s">
        <v>4842</v>
      </c>
      <c r="H661" s="67" t="s">
        <v>161</v>
      </c>
      <c r="I661" s="67" t="s">
        <v>161</v>
      </c>
      <c r="J661" s="67" t="s">
        <v>161</v>
      </c>
      <c r="K661" s="67" t="s">
        <v>161</v>
      </c>
      <c r="L661" s="67" t="s">
        <v>4843</v>
      </c>
      <c r="M661" s="67" t="s">
        <v>4844</v>
      </c>
      <c r="N661" s="67" t="s">
        <v>4844</v>
      </c>
      <c r="O661" s="67" t="s">
        <v>165</v>
      </c>
      <c r="P661" s="67" t="s">
        <v>161</v>
      </c>
    </row>
    <row r="662" s="43" customFormat="1" customHeight="1" spans="1:16">
      <c r="A662" s="67" t="s">
        <v>4845</v>
      </c>
      <c r="B662" s="67">
        <v>35.7</v>
      </c>
      <c r="C662" s="67">
        <v>4</v>
      </c>
      <c r="D662" s="67" t="s">
        <v>3271</v>
      </c>
      <c r="E662" s="67" t="s">
        <v>4846</v>
      </c>
      <c r="F662" s="67" t="s">
        <v>12</v>
      </c>
      <c r="G662" s="67" t="s">
        <v>4847</v>
      </c>
      <c r="H662" s="67" t="s">
        <v>4848</v>
      </c>
      <c r="I662" s="67" t="s">
        <v>161</v>
      </c>
      <c r="J662" s="67" t="s">
        <v>161</v>
      </c>
      <c r="K662" s="67" t="s">
        <v>161</v>
      </c>
      <c r="L662" s="67" t="s">
        <v>4849</v>
      </c>
      <c r="M662" s="67" t="s">
        <v>4850</v>
      </c>
      <c r="N662" s="67" t="s">
        <v>4850</v>
      </c>
      <c r="O662" s="67" t="s">
        <v>165</v>
      </c>
      <c r="P662" s="67" t="s">
        <v>4851</v>
      </c>
    </row>
    <row r="663" s="43" customFormat="1" hidden="1" customHeight="1" spans="1:16">
      <c r="A663" s="67" t="s">
        <v>4852</v>
      </c>
      <c r="B663" s="67">
        <v>32.7</v>
      </c>
      <c r="C663" s="67">
        <v>4</v>
      </c>
      <c r="D663" s="67" t="s">
        <v>4853</v>
      </c>
      <c r="E663" s="67" t="s">
        <v>4854</v>
      </c>
      <c r="F663" s="67" t="s">
        <v>12</v>
      </c>
      <c r="G663" s="67" t="s">
        <v>4855</v>
      </c>
      <c r="H663" s="67" t="s">
        <v>4856</v>
      </c>
      <c r="I663" s="67" t="s">
        <v>161</v>
      </c>
      <c r="J663" s="67" t="s">
        <v>649</v>
      </c>
      <c r="K663" s="67" t="s">
        <v>161</v>
      </c>
      <c r="L663" s="67" t="s">
        <v>4857</v>
      </c>
      <c r="M663" s="67" t="s">
        <v>4858</v>
      </c>
      <c r="N663" s="67" t="s">
        <v>4858</v>
      </c>
      <c r="O663" s="67" t="s">
        <v>165</v>
      </c>
      <c r="P663" s="67" t="s">
        <v>4859</v>
      </c>
    </row>
    <row r="664" s="43" customFormat="1" customHeight="1" spans="1:16">
      <c r="A664" s="67" t="s">
        <v>4860</v>
      </c>
      <c r="B664" s="67">
        <v>61.6</v>
      </c>
      <c r="C664" s="67">
        <v>7</v>
      </c>
      <c r="D664" s="67" t="s">
        <v>4861</v>
      </c>
      <c r="E664" s="67" t="s">
        <v>4862</v>
      </c>
      <c r="F664" s="67" t="s">
        <v>12</v>
      </c>
      <c r="G664" s="67" t="s">
        <v>4863</v>
      </c>
      <c r="H664" s="67" t="s">
        <v>4864</v>
      </c>
      <c r="I664" s="67" t="s">
        <v>161</v>
      </c>
      <c r="J664" s="67" t="s">
        <v>161</v>
      </c>
      <c r="K664" s="67" t="s">
        <v>161</v>
      </c>
      <c r="L664" s="67" t="s">
        <v>4865</v>
      </c>
      <c r="M664" s="67" t="s">
        <v>4866</v>
      </c>
      <c r="N664" s="67" t="s">
        <v>4866</v>
      </c>
      <c r="O664" s="67" t="s">
        <v>165</v>
      </c>
      <c r="P664" s="67" t="s">
        <v>4867</v>
      </c>
    </row>
    <row r="665" s="43" customFormat="1" hidden="1" customHeight="1" spans="1:16">
      <c r="A665" s="67" t="s">
        <v>4868</v>
      </c>
      <c r="B665" s="67">
        <v>54.75</v>
      </c>
      <c r="C665" s="67">
        <v>5</v>
      </c>
      <c r="D665" s="67" t="s">
        <v>4869</v>
      </c>
      <c r="E665" s="67" t="s">
        <v>4870</v>
      </c>
      <c r="F665" s="67" t="s">
        <v>12</v>
      </c>
      <c r="G665" s="67" t="s">
        <v>4871</v>
      </c>
      <c r="H665" s="67" t="s">
        <v>4872</v>
      </c>
      <c r="I665" s="67" t="s">
        <v>161</v>
      </c>
      <c r="J665" s="67" t="s">
        <v>649</v>
      </c>
      <c r="K665" s="67" t="s">
        <v>161</v>
      </c>
      <c r="L665" s="67" t="s">
        <v>4873</v>
      </c>
      <c r="M665" s="67" t="s">
        <v>4874</v>
      </c>
      <c r="N665" s="67" t="s">
        <v>4874</v>
      </c>
      <c r="O665" s="67" t="s">
        <v>165</v>
      </c>
      <c r="P665" s="67" t="s">
        <v>4875</v>
      </c>
    </row>
    <row r="666" s="43" customFormat="1" customHeight="1" spans="1:16">
      <c r="A666" s="67" t="s">
        <v>4876</v>
      </c>
      <c r="B666" s="67">
        <v>38.25</v>
      </c>
      <c r="C666" s="67">
        <v>3</v>
      </c>
      <c r="D666" s="67" t="s">
        <v>4233</v>
      </c>
      <c r="E666" s="67" t="s">
        <v>4825</v>
      </c>
      <c r="F666" s="67" t="s">
        <v>12</v>
      </c>
      <c r="G666" s="67" t="s">
        <v>4877</v>
      </c>
      <c r="H666" s="67" t="s">
        <v>4878</v>
      </c>
      <c r="I666" s="67" t="s">
        <v>161</v>
      </c>
      <c r="J666" s="67" t="s">
        <v>161</v>
      </c>
      <c r="K666" s="67" t="s">
        <v>161</v>
      </c>
      <c r="L666" s="67" t="s">
        <v>4879</v>
      </c>
      <c r="M666" s="67" t="s">
        <v>4880</v>
      </c>
      <c r="N666" s="67" t="s">
        <v>4880</v>
      </c>
      <c r="O666" s="67" t="s">
        <v>165</v>
      </c>
      <c r="P666" s="67" t="s">
        <v>4881</v>
      </c>
    </row>
    <row r="667" s="43" customFormat="1" hidden="1" customHeight="1" spans="1:16">
      <c r="A667" s="67" t="s">
        <v>4882</v>
      </c>
      <c r="B667" s="67">
        <v>26.89</v>
      </c>
      <c r="C667" s="67">
        <v>2</v>
      </c>
      <c r="D667" s="67" t="s">
        <v>3262</v>
      </c>
      <c r="E667" s="67" t="s">
        <v>3263</v>
      </c>
      <c r="F667" s="67" t="s">
        <v>12</v>
      </c>
      <c r="G667" s="67" t="s">
        <v>4883</v>
      </c>
      <c r="H667" s="67" t="s">
        <v>4884</v>
      </c>
      <c r="I667" s="67" t="s">
        <v>161</v>
      </c>
      <c r="J667" s="67" t="s">
        <v>649</v>
      </c>
      <c r="K667" s="67" t="s">
        <v>161</v>
      </c>
      <c r="L667" s="67" t="s">
        <v>4885</v>
      </c>
      <c r="M667" s="67" t="s">
        <v>4886</v>
      </c>
      <c r="N667" s="67" t="s">
        <v>4886</v>
      </c>
      <c r="O667" s="67" t="s">
        <v>165</v>
      </c>
      <c r="P667" s="67" t="s">
        <v>4887</v>
      </c>
    </row>
    <row r="668" s="43" customFormat="1" hidden="1" customHeight="1" spans="1:16">
      <c r="A668" s="67" t="s">
        <v>4888</v>
      </c>
      <c r="B668" s="67">
        <v>40.75</v>
      </c>
      <c r="C668" s="67">
        <v>4</v>
      </c>
      <c r="D668" s="67" t="s">
        <v>4889</v>
      </c>
      <c r="E668" s="67" t="s">
        <v>4890</v>
      </c>
      <c r="F668" s="67" t="s">
        <v>12</v>
      </c>
      <c r="G668" s="67" t="s">
        <v>4891</v>
      </c>
      <c r="H668" s="67" t="s">
        <v>4892</v>
      </c>
      <c r="I668" s="67" t="s">
        <v>161</v>
      </c>
      <c r="J668" s="67" t="s">
        <v>649</v>
      </c>
      <c r="K668" s="67" t="s">
        <v>161</v>
      </c>
      <c r="L668" s="67" t="s">
        <v>4893</v>
      </c>
      <c r="M668" s="67" t="s">
        <v>4894</v>
      </c>
      <c r="N668" s="67" t="s">
        <v>4894</v>
      </c>
      <c r="O668" s="67" t="s">
        <v>165</v>
      </c>
      <c r="P668" s="67" t="s">
        <v>4895</v>
      </c>
    </row>
    <row r="669" s="43" customFormat="1" customHeight="1" spans="1:16">
      <c r="A669" s="67" t="s">
        <v>4896</v>
      </c>
      <c r="B669" s="67">
        <v>35.7</v>
      </c>
      <c r="C669" s="67">
        <v>4</v>
      </c>
      <c r="D669" s="67" t="s">
        <v>4396</v>
      </c>
      <c r="E669" s="67" t="s">
        <v>4397</v>
      </c>
      <c r="F669" s="67" t="s">
        <v>12</v>
      </c>
      <c r="G669" s="67" t="s">
        <v>4897</v>
      </c>
      <c r="H669" s="67" t="s">
        <v>4898</v>
      </c>
      <c r="I669" s="67" t="s">
        <v>161</v>
      </c>
      <c r="J669" s="67" t="s">
        <v>161</v>
      </c>
      <c r="K669" s="67" t="s">
        <v>161</v>
      </c>
      <c r="L669" s="67" t="s">
        <v>4899</v>
      </c>
      <c r="M669" s="67" t="s">
        <v>4900</v>
      </c>
      <c r="N669" s="67" t="s">
        <v>4900</v>
      </c>
      <c r="O669" s="67" t="s">
        <v>165</v>
      </c>
      <c r="P669" s="67" t="s">
        <v>4901</v>
      </c>
    </row>
    <row r="670" s="43" customFormat="1" customHeight="1" spans="1:16">
      <c r="A670" s="67" t="s">
        <v>4902</v>
      </c>
      <c r="B670" s="67">
        <v>30.8</v>
      </c>
      <c r="C670" s="67">
        <v>3</v>
      </c>
      <c r="D670" s="67" t="s">
        <v>4233</v>
      </c>
      <c r="E670" s="67" t="s">
        <v>4825</v>
      </c>
      <c r="F670" s="67" t="s">
        <v>12</v>
      </c>
      <c r="G670" s="67" t="s">
        <v>4903</v>
      </c>
      <c r="H670" s="67" t="s">
        <v>4904</v>
      </c>
      <c r="I670" s="67" t="s">
        <v>161</v>
      </c>
      <c r="J670" s="67" t="s">
        <v>161</v>
      </c>
      <c r="K670" s="67" t="s">
        <v>161</v>
      </c>
      <c r="L670" s="67" t="s">
        <v>4905</v>
      </c>
      <c r="M670" s="67" t="s">
        <v>4906</v>
      </c>
      <c r="N670" s="67" t="s">
        <v>4906</v>
      </c>
      <c r="O670" s="67" t="s">
        <v>165</v>
      </c>
      <c r="P670" s="67" t="s">
        <v>4907</v>
      </c>
    </row>
    <row r="671" s="43" customFormat="1" hidden="1" customHeight="1" spans="1:16">
      <c r="A671" s="67" t="s">
        <v>4908</v>
      </c>
      <c r="B671" s="67">
        <v>47.8</v>
      </c>
      <c r="C671" s="67">
        <v>4</v>
      </c>
      <c r="D671" s="67" t="s">
        <v>3343</v>
      </c>
      <c r="E671" s="67" t="s">
        <v>3344</v>
      </c>
      <c r="F671" s="67" t="s">
        <v>12</v>
      </c>
      <c r="G671" s="67" t="s">
        <v>4909</v>
      </c>
      <c r="H671" s="67" t="s">
        <v>4910</v>
      </c>
      <c r="I671" s="67" t="s">
        <v>161</v>
      </c>
      <c r="J671" s="67" t="s">
        <v>649</v>
      </c>
      <c r="K671" s="67" t="s">
        <v>161</v>
      </c>
      <c r="L671" s="67" t="s">
        <v>4911</v>
      </c>
      <c r="M671" s="67" t="s">
        <v>4912</v>
      </c>
      <c r="N671" s="67" t="s">
        <v>4912</v>
      </c>
      <c r="O671" s="67" t="s">
        <v>165</v>
      </c>
      <c r="P671" s="67" t="s">
        <v>4913</v>
      </c>
    </row>
    <row r="672" s="43" customFormat="1" customHeight="1" spans="1:16">
      <c r="A672" s="67" t="s">
        <v>4914</v>
      </c>
      <c r="B672" s="67">
        <v>33.09</v>
      </c>
      <c r="C672" s="67">
        <v>3</v>
      </c>
      <c r="D672" s="67" t="s">
        <v>3589</v>
      </c>
      <c r="E672" s="67" t="s">
        <v>3590</v>
      </c>
      <c r="F672" s="67" t="s">
        <v>98</v>
      </c>
      <c r="G672" s="67" t="s">
        <v>4915</v>
      </c>
      <c r="H672" s="67" t="s">
        <v>4916</v>
      </c>
      <c r="I672" s="67" t="s">
        <v>161</v>
      </c>
      <c r="J672" s="67" t="s">
        <v>161</v>
      </c>
      <c r="K672" s="67" t="s">
        <v>161</v>
      </c>
      <c r="L672" s="67" t="s">
        <v>4917</v>
      </c>
      <c r="M672" s="67" t="s">
        <v>4918</v>
      </c>
      <c r="N672" s="67" t="s">
        <v>4918</v>
      </c>
      <c r="O672" s="67" t="s">
        <v>165</v>
      </c>
      <c r="P672" s="67" t="s">
        <v>4919</v>
      </c>
    </row>
    <row r="673" s="43" customFormat="1" hidden="1" customHeight="1" spans="1:16">
      <c r="A673" s="67" t="s">
        <v>4920</v>
      </c>
      <c r="B673" s="67">
        <v>31.79</v>
      </c>
      <c r="C673" s="67">
        <v>3</v>
      </c>
      <c r="D673" s="67" t="s">
        <v>4921</v>
      </c>
      <c r="E673" s="67" t="s">
        <v>4922</v>
      </c>
      <c r="F673" s="67" t="s">
        <v>12</v>
      </c>
      <c r="G673" s="67" t="s">
        <v>4923</v>
      </c>
      <c r="H673" s="67" t="s">
        <v>4924</v>
      </c>
      <c r="I673" s="67" t="s">
        <v>161</v>
      </c>
      <c r="J673" s="67" t="s">
        <v>649</v>
      </c>
      <c r="K673" s="67" t="s">
        <v>161</v>
      </c>
      <c r="L673" s="67" t="s">
        <v>4925</v>
      </c>
      <c r="M673" s="67" t="s">
        <v>4926</v>
      </c>
      <c r="N673" s="67" t="s">
        <v>4926</v>
      </c>
      <c r="O673" s="67" t="s">
        <v>165</v>
      </c>
      <c r="P673" s="67" t="s">
        <v>4927</v>
      </c>
    </row>
    <row r="674" s="43" customFormat="1" hidden="1" customHeight="1" spans="1:16">
      <c r="A674" s="67" t="s">
        <v>4928</v>
      </c>
      <c r="B674" s="67">
        <v>26.89</v>
      </c>
      <c r="C674" s="67">
        <v>2</v>
      </c>
      <c r="D674" s="67" t="s">
        <v>3683</v>
      </c>
      <c r="E674" s="67" t="s">
        <v>3684</v>
      </c>
      <c r="F674" s="67" t="s">
        <v>12</v>
      </c>
      <c r="G674" s="67" t="s">
        <v>4929</v>
      </c>
      <c r="H674" s="67" t="s">
        <v>4930</v>
      </c>
      <c r="I674" s="67" t="s">
        <v>161</v>
      </c>
      <c r="J674" s="67" t="s">
        <v>649</v>
      </c>
      <c r="K674" s="67" t="s">
        <v>161</v>
      </c>
      <c r="L674" s="67" t="s">
        <v>4931</v>
      </c>
      <c r="M674" s="67" t="s">
        <v>4932</v>
      </c>
      <c r="N674" s="67" t="s">
        <v>4932</v>
      </c>
      <c r="O674" s="67" t="s">
        <v>165</v>
      </c>
      <c r="P674" s="67" t="s">
        <v>4933</v>
      </c>
    </row>
    <row r="675" s="43" customFormat="1" hidden="1" customHeight="1" spans="1:16">
      <c r="A675" s="67" t="s">
        <v>4934</v>
      </c>
      <c r="B675" s="67">
        <v>26.89</v>
      </c>
      <c r="C675" s="67">
        <v>2</v>
      </c>
      <c r="D675" s="67" t="s">
        <v>3728</v>
      </c>
      <c r="E675" s="67" t="s">
        <v>3729</v>
      </c>
      <c r="F675" s="67" t="s">
        <v>12</v>
      </c>
      <c r="G675" s="67" t="s">
        <v>4935</v>
      </c>
      <c r="H675" s="67" t="s">
        <v>4936</v>
      </c>
      <c r="I675" s="67" t="s">
        <v>161</v>
      </c>
      <c r="J675" s="67" t="s">
        <v>649</v>
      </c>
      <c r="K675" s="67" t="s">
        <v>161</v>
      </c>
      <c r="L675" s="67" t="s">
        <v>4937</v>
      </c>
      <c r="M675" s="67" t="s">
        <v>4938</v>
      </c>
      <c r="N675" s="67" t="s">
        <v>4938</v>
      </c>
      <c r="O675" s="67" t="s">
        <v>165</v>
      </c>
      <c r="P675" s="67" t="s">
        <v>4939</v>
      </c>
    </row>
    <row r="676" s="43" customFormat="1" customHeight="1" spans="1:16">
      <c r="A676" s="67" t="s">
        <v>4940</v>
      </c>
      <c r="B676" s="67">
        <v>67.1</v>
      </c>
      <c r="C676" s="67">
        <v>7</v>
      </c>
      <c r="D676" s="67" t="s">
        <v>4941</v>
      </c>
      <c r="E676" s="67" t="s">
        <v>4942</v>
      </c>
      <c r="F676" s="67" t="s">
        <v>78</v>
      </c>
      <c r="G676" s="67" t="s">
        <v>4943</v>
      </c>
      <c r="H676" s="67" t="s">
        <v>4944</v>
      </c>
      <c r="I676" s="67" t="s">
        <v>161</v>
      </c>
      <c r="J676" s="67" t="s">
        <v>161</v>
      </c>
      <c r="K676" s="67" t="s">
        <v>161</v>
      </c>
      <c r="L676" s="67" t="s">
        <v>4945</v>
      </c>
      <c r="M676" s="67" t="s">
        <v>4946</v>
      </c>
      <c r="N676" s="67" t="s">
        <v>4946</v>
      </c>
      <c r="O676" s="67" t="s">
        <v>165</v>
      </c>
      <c r="P676" s="67" t="s">
        <v>4503</v>
      </c>
    </row>
    <row r="677" s="43" customFormat="1" hidden="1" customHeight="1" spans="1:16">
      <c r="A677" s="67" t="s">
        <v>4947</v>
      </c>
      <c r="B677" s="67">
        <v>30.85</v>
      </c>
      <c r="C677" s="67">
        <v>3</v>
      </c>
      <c r="D677" s="67" t="s">
        <v>3368</v>
      </c>
      <c r="E677" s="67" t="s">
        <v>3369</v>
      </c>
      <c r="F677" s="67" t="s">
        <v>12</v>
      </c>
      <c r="G677" s="67" t="s">
        <v>4948</v>
      </c>
      <c r="H677" s="67" t="s">
        <v>4949</v>
      </c>
      <c r="I677" s="67" t="s">
        <v>161</v>
      </c>
      <c r="J677" s="67" t="s">
        <v>649</v>
      </c>
      <c r="K677" s="67" t="s">
        <v>4950</v>
      </c>
      <c r="L677" s="67" t="s">
        <v>4951</v>
      </c>
      <c r="M677" s="67" t="s">
        <v>4952</v>
      </c>
      <c r="N677" s="67" t="s">
        <v>4952</v>
      </c>
      <c r="O677" s="67" t="s">
        <v>165</v>
      </c>
      <c r="P677" s="67" t="s">
        <v>4953</v>
      </c>
    </row>
    <row r="678" s="43" customFormat="1" hidden="1" customHeight="1" spans="1:16">
      <c r="A678" s="67" t="s">
        <v>4954</v>
      </c>
      <c r="B678" s="67">
        <v>26.89</v>
      </c>
      <c r="C678" s="67">
        <v>2</v>
      </c>
      <c r="D678" s="67" t="s">
        <v>3581</v>
      </c>
      <c r="E678" s="67" t="s">
        <v>3582</v>
      </c>
      <c r="F678" s="67" t="s">
        <v>12</v>
      </c>
      <c r="G678" s="67" t="s">
        <v>4955</v>
      </c>
      <c r="H678" s="67" t="s">
        <v>4956</v>
      </c>
      <c r="I678" s="67" t="s">
        <v>161</v>
      </c>
      <c r="J678" s="67" t="s">
        <v>649</v>
      </c>
      <c r="K678" s="67" t="s">
        <v>161</v>
      </c>
      <c r="L678" s="67" t="s">
        <v>4957</v>
      </c>
      <c r="M678" s="67" t="s">
        <v>4958</v>
      </c>
      <c r="N678" s="67" t="s">
        <v>4958</v>
      </c>
      <c r="O678" s="67" t="s">
        <v>165</v>
      </c>
      <c r="P678" s="67" t="s">
        <v>4959</v>
      </c>
    </row>
    <row r="679" s="171" customFormat="1" customHeight="1" spans="1:16">
      <c r="A679" s="67" t="s">
        <v>4960</v>
      </c>
      <c r="B679" s="67">
        <v>36.1</v>
      </c>
      <c r="C679" s="67">
        <v>4</v>
      </c>
      <c r="D679" s="67" t="s">
        <v>4961</v>
      </c>
      <c r="E679" s="67" t="s">
        <v>4962</v>
      </c>
      <c r="F679" s="67" t="s">
        <v>90</v>
      </c>
      <c r="G679" s="67" t="s">
        <v>4963</v>
      </c>
      <c r="H679" s="67" t="s">
        <v>4964</v>
      </c>
      <c r="I679" s="67" t="s">
        <v>161</v>
      </c>
      <c r="J679" s="67" t="s">
        <v>161</v>
      </c>
      <c r="K679" s="67" t="s">
        <v>161</v>
      </c>
      <c r="L679" s="67" t="s">
        <v>4965</v>
      </c>
      <c r="M679" s="67" t="s">
        <v>4966</v>
      </c>
      <c r="N679" s="67" t="s">
        <v>4966</v>
      </c>
      <c r="O679" s="67" t="s">
        <v>165</v>
      </c>
      <c r="P679" s="67" t="s">
        <v>161</v>
      </c>
    </row>
    <row r="680" s="43" customFormat="1" hidden="1" customHeight="1" spans="1:16">
      <c r="A680" s="67" t="s">
        <v>4967</v>
      </c>
      <c r="B680" s="67">
        <v>47.8</v>
      </c>
      <c r="C680" s="67">
        <v>4</v>
      </c>
      <c r="D680" s="67" t="s">
        <v>3295</v>
      </c>
      <c r="E680" s="67" t="s">
        <v>3296</v>
      </c>
      <c r="F680" s="67" t="s">
        <v>12</v>
      </c>
      <c r="G680" s="67" t="s">
        <v>4968</v>
      </c>
      <c r="H680" s="67" t="s">
        <v>4969</v>
      </c>
      <c r="I680" s="67" t="s">
        <v>161</v>
      </c>
      <c r="J680" s="67" t="s">
        <v>649</v>
      </c>
      <c r="K680" s="67" t="s">
        <v>161</v>
      </c>
      <c r="L680" s="67" t="s">
        <v>4970</v>
      </c>
      <c r="M680" s="67" t="s">
        <v>4971</v>
      </c>
      <c r="N680" s="67" t="s">
        <v>4971</v>
      </c>
      <c r="O680" s="67" t="s">
        <v>165</v>
      </c>
      <c r="P680" s="67" t="s">
        <v>4972</v>
      </c>
    </row>
    <row r="681" s="43" customFormat="1" hidden="1" customHeight="1" spans="1:16">
      <c r="A681" s="67" t="s">
        <v>4973</v>
      </c>
      <c r="B681" s="67">
        <v>11.89</v>
      </c>
      <c r="C681" s="67">
        <v>2</v>
      </c>
      <c r="D681" s="67" t="s">
        <v>4106</v>
      </c>
      <c r="E681" s="67" t="s">
        <v>3654</v>
      </c>
      <c r="F681" s="67" t="s">
        <v>12</v>
      </c>
      <c r="G681" s="67" t="s">
        <v>4974</v>
      </c>
      <c r="H681" s="67" t="s">
        <v>4975</v>
      </c>
      <c r="I681" s="67" t="s">
        <v>161</v>
      </c>
      <c r="J681" s="67" t="s">
        <v>649</v>
      </c>
      <c r="K681" s="67" t="s">
        <v>161</v>
      </c>
      <c r="L681" s="67" t="s">
        <v>4976</v>
      </c>
      <c r="M681" s="67" t="s">
        <v>4977</v>
      </c>
      <c r="N681" s="67" t="s">
        <v>4977</v>
      </c>
      <c r="O681" s="67" t="s">
        <v>165</v>
      </c>
      <c r="P681" s="67" t="s">
        <v>4978</v>
      </c>
    </row>
    <row r="682" s="43" customFormat="1" hidden="1" customHeight="1" spans="1:16">
      <c r="A682" s="67" t="s">
        <v>4979</v>
      </c>
      <c r="B682" s="67">
        <v>30.85</v>
      </c>
      <c r="C682" s="67">
        <v>3</v>
      </c>
      <c r="D682" s="67" t="s">
        <v>4980</v>
      </c>
      <c r="E682" s="67" t="s">
        <v>4981</v>
      </c>
      <c r="F682" s="67" t="s">
        <v>12</v>
      </c>
      <c r="G682" s="67" t="s">
        <v>4982</v>
      </c>
      <c r="H682" s="67" t="s">
        <v>4983</v>
      </c>
      <c r="I682" s="67" t="s">
        <v>161</v>
      </c>
      <c r="J682" s="67" t="s">
        <v>649</v>
      </c>
      <c r="K682" s="67" t="s">
        <v>161</v>
      </c>
      <c r="L682" s="67" t="s">
        <v>4984</v>
      </c>
      <c r="M682" s="67" t="s">
        <v>4985</v>
      </c>
      <c r="N682" s="67" t="s">
        <v>4985</v>
      </c>
      <c r="O682" s="67" t="s">
        <v>165</v>
      </c>
      <c r="P682" s="67" t="s">
        <v>4986</v>
      </c>
    </row>
    <row r="683" s="43" customFormat="1" hidden="1" customHeight="1" spans="1:16">
      <c r="A683" s="67" t="s">
        <v>4987</v>
      </c>
      <c r="B683" s="67">
        <v>26.89</v>
      </c>
      <c r="C683" s="67">
        <v>2</v>
      </c>
      <c r="D683" s="67" t="s">
        <v>3262</v>
      </c>
      <c r="E683" s="67" t="s">
        <v>3263</v>
      </c>
      <c r="F683" s="67" t="s">
        <v>12</v>
      </c>
      <c r="G683" s="67" t="s">
        <v>4988</v>
      </c>
      <c r="H683" s="67" t="s">
        <v>4989</v>
      </c>
      <c r="I683" s="67" t="s">
        <v>161</v>
      </c>
      <c r="J683" s="67" t="s">
        <v>649</v>
      </c>
      <c r="K683" s="67" t="s">
        <v>161</v>
      </c>
      <c r="L683" s="67" t="s">
        <v>4990</v>
      </c>
      <c r="M683" s="67" t="s">
        <v>4991</v>
      </c>
      <c r="N683" s="67" t="s">
        <v>4991</v>
      </c>
      <c r="O683" s="67" t="s">
        <v>165</v>
      </c>
      <c r="P683" s="67" t="s">
        <v>4992</v>
      </c>
    </row>
    <row r="684" s="171" customFormat="1" customHeight="1" spans="1:16">
      <c r="A684" s="67" t="s">
        <v>4993</v>
      </c>
      <c r="B684" s="67">
        <v>40.6</v>
      </c>
      <c r="C684" s="67">
        <v>5</v>
      </c>
      <c r="D684" s="67" t="s">
        <v>3667</v>
      </c>
      <c r="E684" s="67" t="s">
        <v>3668</v>
      </c>
      <c r="F684" s="67" t="s">
        <v>12</v>
      </c>
      <c r="G684" s="67" t="s">
        <v>4994</v>
      </c>
      <c r="H684" s="67" t="s">
        <v>4995</v>
      </c>
      <c r="I684" s="67" t="s">
        <v>161</v>
      </c>
      <c r="J684" s="67" t="s">
        <v>161</v>
      </c>
      <c r="K684" s="67" t="s">
        <v>161</v>
      </c>
      <c r="L684" s="67" t="s">
        <v>4996</v>
      </c>
      <c r="M684" s="67" t="s">
        <v>4997</v>
      </c>
      <c r="N684" s="67" t="s">
        <v>4997</v>
      </c>
      <c r="O684" s="67" t="s">
        <v>165</v>
      </c>
      <c r="P684" s="67" t="s">
        <v>161</v>
      </c>
    </row>
    <row r="685" s="43" customFormat="1" hidden="1" customHeight="1" spans="1:16">
      <c r="A685" s="67" t="s">
        <v>4998</v>
      </c>
      <c r="B685" s="67">
        <v>16.79</v>
      </c>
      <c r="C685" s="67">
        <v>3</v>
      </c>
      <c r="D685" s="67" t="s">
        <v>4469</v>
      </c>
      <c r="E685" s="67" t="s">
        <v>3654</v>
      </c>
      <c r="F685" s="67" t="s">
        <v>12</v>
      </c>
      <c r="G685" s="67" t="s">
        <v>4999</v>
      </c>
      <c r="H685" s="67" t="s">
        <v>5000</v>
      </c>
      <c r="I685" s="67" t="s">
        <v>161</v>
      </c>
      <c r="J685" s="67" t="s">
        <v>649</v>
      </c>
      <c r="K685" s="67" t="s">
        <v>161</v>
      </c>
      <c r="L685" s="67" t="s">
        <v>5001</v>
      </c>
      <c r="M685" s="67" t="s">
        <v>5002</v>
      </c>
      <c r="N685" s="67" t="s">
        <v>5002</v>
      </c>
      <c r="O685" s="67" t="s">
        <v>165</v>
      </c>
      <c r="P685" s="67" t="s">
        <v>5003</v>
      </c>
    </row>
    <row r="686" s="43" customFormat="1" hidden="1" customHeight="1" spans="1:16">
      <c r="A686" s="67" t="s">
        <v>5004</v>
      </c>
      <c r="B686" s="67">
        <v>52.7</v>
      </c>
      <c r="C686" s="67">
        <v>5</v>
      </c>
      <c r="D686" s="67" t="s">
        <v>5005</v>
      </c>
      <c r="E686" s="67" t="s">
        <v>5006</v>
      </c>
      <c r="F686" s="67" t="s">
        <v>12</v>
      </c>
      <c r="G686" s="67" t="s">
        <v>5007</v>
      </c>
      <c r="H686" s="67" t="s">
        <v>5008</v>
      </c>
      <c r="I686" s="67" t="s">
        <v>161</v>
      </c>
      <c r="J686" s="67" t="s">
        <v>649</v>
      </c>
      <c r="K686" s="67" t="s">
        <v>161</v>
      </c>
      <c r="L686" s="67" t="s">
        <v>5009</v>
      </c>
      <c r="M686" s="67" t="s">
        <v>5010</v>
      </c>
      <c r="N686" s="67" t="s">
        <v>5010</v>
      </c>
      <c r="O686" s="67" t="s">
        <v>165</v>
      </c>
      <c r="P686" s="67" t="s">
        <v>5011</v>
      </c>
    </row>
    <row r="687" s="43" customFormat="1" hidden="1" customHeight="1" spans="1:16">
      <c r="A687" s="67" t="s">
        <v>5012</v>
      </c>
      <c r="B687" s="67">
        <v>37.7</v>
      </c>
      <c r="C687" s="67">
        <v>4</v>
      </c>
      <c r="D687" s="67" t="s">
        <v>5013</v>
      </c>
      <c r="E687" s="67" t="s">
        <v>4922</v>
      </c>
      <c r="F687" s="67" t="s">
        <v>12</v>
      </c>
      <c r="G687" s="67" t="s">
        <v>5014</v>
      </c>
      <c r="H687" s="67" t="s">
        <v>5015</v>
      </c>
      <c r="I687" s="67" t="s">
        <v>161</v>
      </c>
      <c r="J687" s="67" t="s">
        <v>649</v>
      </c>
      <c r="K687" s="67" t="s">
        <v>161</v>
      </c>
      <c r="L687" s="67" t="s">
        <v>5016</v>
      </c>
      <c r="M687" s="67" t="s">
        <v>5017</v>
      </c>
      <c r="N687" s="67" t="s">
        <v>5017</v>
      </c>
      <c r="O687" s="67" t="s">
        <v>165</v>
      </c>
      <c r="P687" s="67" t="s">
        <v>5018</v>
      </c>
    </row>
    <row r="688" s="171" customFormat="1" customHeight="1" spans="1:16">
      <c r="A688" s="67" t="s">
        <v>5019</v>
      </c>
      <c r="B688" s="67">
        <v>43.15</v>
      </c>
      <c r="C688" s="67">
        <v>4</v>
      </c>
      <c r="D688" s="67" t="s">
        <v>5020</v>
      </c>
      <c r="E688" s="67" t="s">
        <v>5021</v>
      </c>
      <c r="F688" s="67" t="s">
        <v>12</v>
      </c>
      <c r="G688" s="67" t="s">
        <v>5022</v>
      </c>
      <c r="H688" s="67" t="s">
        <v>5023</v>
      </c>
      <c r="I688" s="67" t="s">
        <v>161</v>
      </c>
      <c r="J688" s="67" t="s">
        <v>161</v>
      </c>
      <c r="K688" s="67" t="s">
        <v>161</v>
      </c>
      <c r="L688" s="67" t="s">
        <v>5024</v>
      </c>
      <c r="M688" s="67" t="s">
        <v>5025</v>
      </c>
      <c r="N688" s="67" t="s">
        <v>5025</v>
      </c>
      <c r="O688" s="67" t="s">
        <v>165</v>
      </c>
      <c r="P688" s="67" t="s">
        <v>161</v>
      </c>
    </row>
    <row r="689" s="171" customFormat="1" hidden="1" customHeight="1" spans="1:16">
      <c r="A689" s="172" t="s">
        <v>5026</v>
      </c>
      <c r="B689" s="172">
        <v>33.97</v>
      </c>
      <c r="C689" s="172">
        <v>3</v>
      </c>
      <c r="D689" s="172" t="s">
        <v>5027</v>
      </c>
      <c r="E689" s="172" t="s">
        <v>5028</v>
      </c>
      <c r="F689" s="172" t="s">
        <v>12</v>
      </c>
      <c r="G689" s="172" t="s">
        <v>5029</v>
      </c>
      <c r="H689" s="172" t="s">
        <v>5030</v>
      </c>
      <c r="I689" s="172" t="s">
        <v>161</v>
      </c>
      <c r="J689" s="172" t="s">
        <v>649</v>
      </c>
      <c r="K689" s="172" t="s">
        <v>161</v>
      </c>
      <c r="L689" s="172" t="s">
        <v>5031</v>
      </c>
      <c r="M689" s="172" t="s">
        <v>5032</v>
      </c>
      <c r="N689" s="172" t="s">
        <v>5032</v>
      </c>
      <c r="O689" s="172" t="s">
        <v>165</v>
      </c>
      <c r="P689" s="172" t="s">
        <v>161</v>
      </c>
    </row>
    <row r="690" s="171" customFormat="1" hidden="1" customHeight="1" spans="1:16">
      <c r="A690" s="172" t="s">
        <v>5033</v>
      </c>
      <c r="B690" s="172">
        <v>62.5</v>
      </c>
      <c r="C690" s="172">
        <v>6</v>
      </c>
      <c r="D690" s="172" t="s">
        <v>5034</v>
      </c>
      <c r="E690" s="172" t="s">
        <v>5035</v>
      </c>
      <c r="F690" s="172" t="s">
        <v>12</v>
      </c>
      <c r="G690" s="172" t="s">
        <v>5036</v>
      </c>
      <c r="H690" s="172" t="s">
        <v>5037</v>
      </c>
      <c r="I690" s="172" t="s">
        <v>161</v>
      </c>
      <c r="J690" s="172" t="s">
        <v>649</v>
      </c>
      <c r="K690" s="172" t="s">
        <v>5038</v>
      </c>
      <c r="L690" s="172" t="s">
        <v>5039</v>
      </c>
      <c r="M690" s="172" t="s">
        <v>5040</v>
      </c>
      <c r="N690" s="172" t="s">
        <v>5040</v>
      </c>
      <c r="O690" s="172" t="s">
        <v>165</v>
      </c>
      <c r="P690" s="172" t="s">
        <v>161</v>
      </c>
    </row>
    <row r="691" s="171" customFormat="1" customHeight="1" spans="1:16">
      <c r="A691" s="67" t="s">
        <v>5041</v>
      </c>
      <c r="B691" s="67">
        <v>47.6</v>
      </c>
      <c r="C691" s="67">
        <v>5</v>
      </c>
      <c r="D691" s="67" t="s">
        <v>5042</v>
      </c>
      <c r="E691" s="67" t="s">
        <v>5043</v>
      </c>
      <c r="F691" s="67" t="s">
        <v>12</v>
      </c>
      <c r="G691" s="67" t="s">
        <v>5044</v>
      </c>
      <c r="H691" s="67" t="s">
        <v>5045</v>
      </c>
      <c r="I691" s="67" t="s">
        <v>161</v>
      </c>
      <c r="J691" s="67" t="s">
        <v>161</v>
      </c>
      <c r="K691" s="67" t="s">
        <v>161</v>
      </c>
      <c r="L691" s="67" t="s">
        <v>5046</v>
      </c>
      <c r="M691" s="67" t="s">
        <v>5047</v>
      </c>
      <c r="N691" s="67" t="s">
        <v>5047</v>
      </c>
      <c r="O691" s="67" t="s">
        <v>165</v>
      </c>
      <c r="P691" s="67" t="s">
        <v>161</v>
      </c>
    </row>
    <row r="692" s="43" customFormat="1" customHeight="1" spans="1:16">
      <c r="A692" s="67" t="s">
        <v>5048</v>
      </c>
      <c r="B692" s="67">
        <v>101.5</v>
      </c>
      <c r="C692" s="67">
        <v>6</v>
      </c>
      <c r="D692" s="67" t="s">
        <v>5049</v>
      </c>
      <c r="E692" s="67" t="s">
        <v>5050</v>
      </c>
      <c r="F692" s="67" t="s">
        <v>12</v>
      </c>
      <c r="G692" s="67" t="s">
        <v>5051</v>
      </c>
      <c r="H692" s="67" t="s">
        <v>5052</v>
      </c>
      <c r="I692" s="67" t="s">
        <v>161</v>
      </c>
      <c r="J692" s="67" t="s">
        <v>161</v>
      </c>
      <c r="K692" s="67" t="s">
        <v>161</v>
      </c>
      <c r="L692" s="67" t="s">
        <v>5053</v>
      </c>
      <c r="M692" s="67" t="s">
        <v>5054</v>
      </c>
      <c r="N692" s="67" t="s">
        <v>5054</v>
      </c>
      <c r="O692" s="67" t="s">
        <v>165</v>
      </c>
      <c r="P692" s="67" t="s">
        <v>5055</v>
      </c>
    </row>
    <row r="693" s="171" customFormat="1" customHeight="1" spans="1:16">
      <c r="A693" s="67" t="s">
        <v>5056</v>
      </c>
      <c r="B693" s="67">
        <v>66</v>
      </c>
      <c r="C693" s="67">
        <v>6</v>
      </c>
      <c r="D693" s="67" t="s">
        <v>5057</v>
      </c>
      <c r="E693" s="67" t="s">
        <v>5058</v>
      </c>
      <c r="F693" s="67" t="s">
        <v>98</v>
      </c>
      <c r="G693" s="67" t="s">
        <v>5059</v>
      </c>
      <c r="H693" s="67" t="s">
        <v>5060</v>
      </c>
      <c r="I693" s="67" t="s">
        <v>161</v>
      </c>
      <c r="J693" s="67" t="s">
        <v>161</v>
      </c>
      <c r="K693" s="67" t="s">
        <v>161</v>
      </c>
      <c r="L693" s="67" t="s">
        <v>5061</v>
      </c>
      <c r="M693" s="67" t="s">
        <v>5062</v>
      </c>
      <c r="N693" s="67" t="s">
        <v>5062</v>
      </c>
      <c r="O693" s="67" t="s">
        <v>165</v>
      </c>
      <c r="P693" s="67" t="s">
        <v>161</v>
      </c>
    </row>
    <row r="694" s="43" customFormat="1" customHeight="1" spans="1:16">
      <c r="A694" s="67" t="s">
        <v>5063</v>
      </c>
      <c r="B694" s="67">
        <v>27.89</v>
      </c>
      <c r="C694" s="67">
        <v>1</v>
      </c>
      <c r="D694" s="67" t="s">
        <v>5064</v>
      </c>
      <c r="E694" s="67" t="s">
        <v>2450</v>
      </c>
      <c r="F694" s="67" t="s">
        <v>12</v>
      </c>
      <c r="G694" s="67" t="s">
        <v>5065</v>
      </c>
      <c r="H694" s="67" t="s">
        <v>5066</v>
      </c>
      <c r="I694" s="67" t="s">
        <v>161</v>
      </c>
      <c r="J694" s="67" t="s">
        <v>161</v>
      </c>
      <c r="K694" s="67" t="s">
        <v>5067</v>
      </c>
      <c r="L694" s="67" t="s">
        <v>5068</v>
      </c>
      <c r="M694" s="67" t="s">
        <v>5069</v>
      </c>
      <c r="N694" s="67" t="s">
        <v>5069</v>
      </c>
      <c r="O694" s="67" t="s">
        <v>165</v>
      </c>
      <c r="P694" s="67" t="s">
        <v>5070</v>
      </c>
    </row>
    <row r="695" s="43" customFormat="1" customHeight="1" spans="1:16">
      <c r="A695" s="67" t="s">
        <v>5071</v>
      </c>
      <c r="B695" s="67">
        <v>37.75</v>
      </c>
      <c r="C695" s="67">
        <v>3</v>
      </c>
      <c r="D695" s="67" t="s">
        <v>5072</v>
      </c>
      <c r="E695" s="67" t="s">
        <v>5073</v>
      </c>
      <c r="F695" s="67" t="s">
        <v>12</v>
      </c>
      <c r="G695" s="67" t="s">
        <v>5074</v>
      </c>
      <c r="H695" s="67" t="s">
        <v>5075</v>
      </c>
      <c r="I695" s="67" t="s">
        <v>161</v>
      </c>
      <c r="J695" s="67" t="s">
        <v>161</v>
      </c>
      <c r="K695" s="67" t="s">
        <v>161</v>
      </c>
      <c r="L695" s="67" t="s">
        <v>5076</v>
      </c>
      <c r="M695" s="67" t="s">
        <v>5077</v>
      </c>
      <c r="N695" s="67" t="s">
        <v>5077</v>
      </c>
      <c r="O695" s="67" t="s">
        <v>165</v>
      </c>
      <c r="P695" s="67" t="s">
        <v>5078</v>
      </c>
    </row>
    <row r="696" s="43" customFormat="1" customHeight="1" spans="1:16">
      <c r="A696" s="67" t="s">
        <v>5079</v>
      </c>
      <c r="B696" s="67">
        <v>72.7</v>
      </c>
      <c r="C696" s="67">
        <v>4</v>
      </c>
      <c r="D696" s="67" t="s">
        <v>5080</v>
      </c>
      <c r="E696" s="67" t="s">
        <v>5081</v>
      </c>
      <c r="F696" s="67" t="s">
        <v>12</v>
      </c>
      <c r="G696" s="67" t="s">
        <v>5082</v>
      </c>
      <c r="H696" s="67" t="s">
        <v>5083</v>
      </c>
      <c r="I696" s="67" t="s">
        <v>161</v>
      </c>
      <c r="J696" s="67" t="s">
        <v>161</v>
      </c>
      <c r="K696" s="67" t="s">
        <v>161</v>
      </c>
      <c r="L696" s="67" t="s">
        <v>5084</v>
      </c>
      <c r="M696" s="67" t="s">
        <v>5085</v>
      </c>
      <c r="N696" s="67" t="s">
        <v>5085</v>
      </c>
      <c r="O696" s="67" t="s">
        <v>165</v>
      </c>
      <c r="P696" s="67" t="s">
        <v>5086</v>
      </c>
    </row>
    <row r="697" s="43" customFormat="1" customHeight="1" spans="1:16">
      <c r="A697" s="67" t="s">
        <v>5087</v>
      </c>
      <c r="B697" s="67">
        <v>67.65</v>
      </c>
      <c r="C697" s="67">
        <v>4</v>
      </c>
      <c r="D697" s="67" t="s">
        <v>5088</v>
      </c>
      <c r="E697" s="67" t="s">
        <v>5089</v>
      </c>
      <c r="F697" s="67" t="s">
        <v>78</v>
      </c>
      <c r="G697" s="67" t="s">
        <v>5090</v>
      </c>
      <c r="H697" s="67" t="s">
        <v>5091</v>
      </c>
      <c r="I697" s="67" t="s">
        <v>161</v>
      </c>
      <c r="J697" s="67" t="s">
        <v>161</v>
      </c>
      <c r="K697" s="67" t="s">
        <v>161</v>
      </c>
      <c r="L697" s="67" t="s">
        <v>5092</v>
      </c>
      <c r="M697" s="67" t="s">
        <v>5093</v>
      </c>
      <c r="N697" s="67" t="s">
        <v>5093</v>
      </c>
      <c r="O697" s="67" t="s">
        <v>165</v>
      </c>
      <c r="P697" s="67" t="s">
        <v>5094</v>
      </c>
    </row>
    <row r="698" s="43" customFormat="1" customHeight="1" spans="1:16">
      <c r="A698" s="67" t="s">
        <v>5095</v>
      </c>
      <c r="B698" s="67">
        <v>74.6</v>
      </c>
      <c r="C698" s="67">
        <v>5</v>
      </c>
      <c r="D698" s="67" t="s">
        <v>5096</v>
      </c>
      <c r="E698" s="67" t="s">
        <v>5097</v>
      </c>
      <c r="F698" s="67" t="s">
        <v>78</v>
      </c>
      <c r="G698" s="67" t="s">
        <v>5098</v>
      </c>
      <c r="H698" s="67" t="s">
        <v>5099</v>
      </c>
      <c r="I698" s="67" t="s">
        <v>161</v>
      </c>
      <c r="J698" s="67" t="s">
        <v>161</v>
      </c>
      <c r="K698" s="67" t="s">
        <v>161</v>
      </c>
      <c r="L698" s="67" t="s">
        <v>5100</v>
      </c>
      <c r="M698" s="67" t="s">
        <v>5101</v>
      </c>
      <c r="N698" s="67" t="s">
        <v>5101</v>
      </c>
      <c r="O698" s="67" t="s">
        <v>165</v>
      </c>
      <c r="P698" s="67" t="s">
        <v>161</v>
      </c>
    </row>
    <row r="699" s="43" customFormat="1" customHeight="1" spans="1:16">
      <c r="A699" s="67" t="s">
        <v>5102</v>
      </c>
      <c r="B699" s="67">
        <v>78.35</v>
      </c>
      <c r="C699" s="67">
        <v>9</v>
      </c>
      <c r="D699" s="67" t="s">
        <v>5103</v>
      </c>
      <c r="E699" s="67" t="s">
        <v>5104</v>
      </c>
      <c r="F699" s="67" t="s">
        <v>12</v>
      </c>
      <c r="G699" s="67" t="s">
        <v>5105</v>
      </c>
      <c r="H699" s="67" t="s">
        <v>5106</v>
      </c>
      <c r="I699" s="67" t="s">
        <v>161</v>
      </c>
      <c r="J699" s="67" t="s">
        <v>161</v>
      </c>
      <c r="K699" s="67" t="s">
        <v>5107</v>
      </c>
      <c r="L699" s="67" t="s">
        <v>5108</v>
      </c>
      <c r="M699" s="67" t="s">
        <v>5109</v>
      </c>
      <c r="N699" s="67" t="s">
        <v>5109</v>
      </c>
      <c r="O699" s="67" t="s">
        <v>165</v>
      </c>
      <c r="P699" s="67" t="s">
        <v>161</v>
      </c>
    </row>
    <row r="700" s="43" customFormat="1" customHeight="1" spans="1:16">
      <c r="A700" s="67" t="s">
        <v>5110</v>
      </c>
      <c r="B700" s="67">
        <v>27.89</v>
      </c>
      <c r="C700" s="67">
        <v>1</v>
      </c>
      <c r="D700" s="67" t="s">
        <v>5064</v>
      </c>
      <c r="E700" s="67" t="s">
        <v>2450</v>
      </c>
      <c r="F700" s="67" t="s">
        <v>12</v>
      </c>
      <c r="G700" s="67" t="s">
        <v>5111</v>
      </c>
      <c r="H700" s="67" t="s">
        <v>5112</v>
      </c>
      <c r="I700" s="67" t="s">
        <v>161</v>
      </c>
      <c r="J700" s="67" t="s">
        <v>161</v>
      </c>
      <c r="K700" s="67" t="s">
        <v>161</v>
      </c>
      <c r="L700" s="67" t="s">
        <v>5113</v>
      </c>
      <c r="M700" s="67" t="s">
        <v>5114</v>
      </c>
      <c r="N700" s="67" t="s">
        <v>5114</v>
      </c>
      <c r="O700" s="67" t="s">
        <v>165</v>
      </c>
      <c r="P700" s="67" t="s">
        <v>161</v>
      </c>
    </row>
    <row r="701" s="43" customFormat="1" customHeight="1" spans="1:16">
      <c r="A701" s="67" t="s">
        <v>5115</v>
      </c>
      <c r="B701" s="67">
        <v>46.94</v>
      </c>
      <c r="C701" s="67">
        <v>3</v>
      </c>
      <c r="D701" s="67" t="s">
        <v>5116</v>
      </c>
      <c r="E701" s="67" t="s">
        <v>5117</v>
      </c>
      <c r="F701" s="67" t="s">
        <v>12</v>
      </c>
      <c r="G701" s="67" t="s">
        <v>5118</v>
      </c>
      <c r="H701" s="67" t="s">
        <v>5119</v>
      </c>
      <c r="I701" s="67" t="s">
        <v>161</v>
      </c>
      <c r="J701" s="67" t="s">
        <v>161</v>
      </c>
      <c r="K701" s="67" t="s">
        <v>161</v>
      </c>
      <c r="L701" s="67" t="s">
        <v>5120</v>
      </c>
      <c r="M701" s="67" t="s">
        <v>5121</v>
      </c>
      <c r="N701" s="67" t="s">
        <v>5121</v>
      </c>
      <c r="O701" s="67" t="s">
        <v>165</v>
      </c>
      <c r="P701" s="67" t="s">
        <v>161</v>
      </c>
    </row>
    <row r="702" s="43" customFormat="1" customHeight="1" spans="1:16">
      <c r="A702" s="67" t="s">
        <v>5122</v>
      </c>
      <c r="B702" s="67">
        <v>24.79</v>
      </c>
      <c r="C702" s="67">
        <v>2</v>
      </c>
      <c r="D702" s="67" t="s">
        <v>5123</v>
      </c>
      <c r="E702" s="67" t="s">
        <v>5124</v>
      </c>
      <c r="F702" s="67" t="s">
        <v>90</v>
      </c>
      <c r="G702" s="67" t="s">
        <v>5125</v>
      </c>
      <c r="H702" s="67" t="s">
        <v>5126</v>
      </c>
      <c r="I702" s="67" t="s">
        <v>161</v>
      </c>
      <c r="J702" s="67" t="s">
        <v>161</v>
      </c>
      <c r="K702" s="67" t="s">
        <v>161</v>
      </c>
      <c r="L702" s="67" t="s">
        <v>5127</v>
      </c>
      <c r="M702" s="67" t="s">
        <v>5128</v>
      </c>
      <c r="N702" s="67" t="s">
        <v>5128</v>
      </c>
      <c r="O702" s="67" t="s">
        <v>165</v>
      </c>
      <c r="P702" s="67" t="s">
        <v>161</v>
      </c>
    </row>
    <row r="703" s="43" customFormat="1" customHeight="1" spans="1:16">
      <c r="A703" s="67" t="s">
        <v>5129</v>
      </c>
      <c r="B703" s="67">
        <v>38.8</v>
      </c>
      <c r="C703" s="67">
        <v>2</v>
      </c>
      <c r="D703" s="67" t="s">
        <v>5130</v>
      </c>
      <c r="E703" s="67" t="s">
        <v>5131</v>
      </c>
      <c r="F703" s="67" t="s">
        <v>12</v>
      </c>
      <c r="G703" s="67" t="s">
        <v>1964</v>
      </c>
      <c r="H703" s="67" t="s">
        <v>161</v>
      </c>
      <c r="I703" s="67" t="s">
        <v>161</v>
      </c>
      <c r="J703" s="67" t="s">
        <v>161</v>
      </c>
      <c r="K703" s="67" t="s">
        <v>161</v>
      </c>
      <c r="L703" s="67" t="s">
        <v>1966</v>
      </c>
      <c r="M703" s="67" t="s">
        <v>5132</v>
      </c>
      <c r="N703" s="67" t="s">
        <v>5132</v>
      </c>
      <c r="O703" s="67" t="s">
        <v>165</v>
      </c>
      <c r="P703" s="67" t="s">
        <v>161</v>
      </c>
    </row>
    <row r="704" s="43" customFormat="1" customHeight="1" spans="1:16">
      <c r="A704" s="67" t="s">
        <v>5133</v>
      </c>
      <c r="B704" s="67">
        <v>39.82</v>
      </c>
      <c r="C704" s="67">
        <v>1</v>
      </c>
      <c r="D704" s="67" t="s">
        <v>5134</v>
      </c>
      <c r="E704" s="67" t="s">
        <v>2914</v>
      </c>
      <c r="F704" s="67" t="s">
        <v>98</v>
      </c>
      <c r="G704" s="67" t="s">
        <v>5135</v>
      </c>
      <c r="H704" s="67" t="s">
        <v>161</v>
      </c>
      <c r="I704" s="67" t="s">
        <v>161</v>
      </c>
      <c r="J704" s="67" t="s">
        <v>161</v>
      </c>
      <c r="K704" s="67" t="s">
        <v>161</v>
      </c>
      <c r="L704" s="67" t="s">
        <v>5136</v>
      </c>
      <c r="M704" s="67" t="s">
        <v>5137</v>
      </c>
      <c r="N704" s="67" t="s">
        <v>5137</v>
      </c>
      <c r="O704" s="67" t="s">
        <v>165</v>
      </c>
      <c r="P704" s="67" t="s">
        <v>161</v>
      </c>
    </row>
    <row r="705" s="43" customFormat="1" customHeight="1" spans="1:16">
      <c r="A705" s="67" t="s">
        <v>5138</v>
      </c>
      <c r="B705" s="67">
        <v>45.85</v>
      </c>
      <c r="C705" s="67">
        <v>3</v>
      </c>
      <c r="D705" s="67" t="s">
        <v>5139</v>
      </c>
      <c r="E705" s="67" t="s">
        <v>5140</v>
      </c>
      <c r="F705" s="67" t="s">
        <v>12</v>
      </c>
      <c r="G705" s="67" t="s">
        <v>5141</v>
      </c>
      <c r="H705" s="67" t="s">
        <v>161</v>
      </c>
      <c r="I705" s="67" t="s">
        <v>161</v>
      </c>
      <c r="J705" s="67" t="s">
        <v>161</v>
      </c>
      <c r="K705" s="67" t="s">
        <v>161</v>
      </c>
      <c r="L705" s="67" t="s">
        <v>5142</v>
      </c>
      <c r="M705" s="67" t="s">
        <v>5143</v>
      </c>
      <c r="N705" s="67" t="s">
        <v>5143</v>
      </c>
      <c r="O705" s="67" t="s">
        <v>165</v>
      </c>
      <c r="P705" s="67" t="s">
        <v>161</v>
      </c>
    </row>
    <row r="706" s="43" customFormat="1" customHeight="1" spans="1:16">
      <c r="A706" s="67" t="s">
        <v>5144</v>
      </c>
      <c r="B706" s="67">
        <v>38.9</v>
      </c>
      <c r="C706" s="67">
        <v>2</v>
      </c>
      <c r="D706" s="67" t="s">
        <v>5145</v>
      </c>
      <c r="E706" s="67" t="s">
        <v>5146</v>
      </c>
      <c r="F706" s="67" t="s">
        <v>12</v>
      </c>
      <c r="G706" s="67" t="s">
        <v>5147</v>
      </c>
      <c r="H706" s="67" t="s">
        <v>161</v>
      </c>
      <c r="I706" s="67" t="s">
        <v>161</v>
      </c>
      <c r="J706" s="67" t="s">
        <v>161</v>
      </c>
      <c r="K706" s="67" t="s">
        <v>161</v>
      </c>
      <c r="L706" s="67" t="s">
        <v>5148</v>
      </c>
      <c r="M706" s="67" t="s">
        <v>5149</v>
      </c>
      <c r="N706" s="67" t="s">
        <v>5149</v>
      </c>
      <c r="O706" s="67" t="s">
        <v>165</v>
      </c>
      <c r="P706" s="67" t="s">
        <v>161</v>
      </c>
    </row>
    <row r="707" s="43" customFormat="1" customHeight="1" spans="1:16">
      <c r="A707" s="67" t="s">
        <v>5150</v>
      </c>
      <c r="B707" s="67">
        <v>38.9</v>
      </c>
      <c r="C707" s="67">
        <v>2</v>
      </c>
      <c r="D707" s="67" t="s">
        <v>5145</v>
      </c>
      <c r="E707" s="67" t="s">
        <v>5146</v>
      </c>
      <c r="F707" s="67" t="s">
        <v>12</v>
      </c>
      <c r="G707" s="67" t="s">
        <v>1166</v>
      </c>
      <c r="H707" s="67" t="s">
        <v>161</v>
      </c>
      <c r="I707" s="67" t="s">
        <v>161</v>
      </c>
      <c r="J707" s="67" t="s">
        <v>161</v>
      </c>
      <c r="K707" s="67" t="s">
        <v>161</v>
      </c>
      <c r="L707" s="67" t="s">
        <v>1168</v>
      </c>
      <c r="M707" s="67" t="s">
        <v>5151</v>
      </c>
      <c r="N707" s="67" t="s">
        <v>5151</v>
      </c>
      <c r="O707" s="67" t="s">
        <v>165</v>
      </c>
      <c r="P707" s="67" t="s">
        <v>161</v>
      </c>
    </row>
    <row r="708" s="43" customFormat="1" customHeight="1" spans="1:16">
      <c r="A708" s="67" t="s">
        <v>5152</v>
      </c>
      <c r="B708" s="67">
        <v>52.75</v>
      </c>
      <c r="C708" s="67">
        <v>4</v>
      </c>
      <c r="D708" s="67" t="s">
        <v>5153</v>
      </c>
      <c r="E708" s="67" t="s">
        <v>5154</v>
      </c>
      <c r="F708" s="67" t="s">
        <v>12</v>
      </c>
      <c r="G708" s="67" t="s">
        <v>1993</v>
      </c>
      <c r="H708" s="67" t="s">
        <v>161</v>
      </c>
      <c r="I708" s="67" t="s">
        <v>161</v>
      </c>
      <c r="J708" s="67" t="s">
        <v>161</v>
      </c>
      <c r="K708" s="67" t="s">
        <v>161</v>
      </c>
      <c r="L708" s="67" t="s">
        <v>5155</v>
      </c>
      <c r="M708" s="67" t="s">
        <v>5156</v>
      </c>
      <c r="N708" s="67" t="s">
        <v>5156</v>
      </c>
      <c r="O708" s="67" t="s">
        <v>165</v>
      </c>
      <c r="P708" s="67" t="s">
        <v>161</v>
      </c>
    </row>
    <row r="709" s="43" customFormat="1" customHeight="1" spans="1:16">
      <c r="A709" s="67" t="s">
        <v>5157</v>
      </c>
      <c r="B709" s="67">
        <v>38.9</v>
      </c>
      <c r="C709" s="67">
        <v>2</v>
      </c>
      <c r="D709" s="67" t="s">
        <v>5145</v>
      </c>
      <c r="E709" s="67" t="s">
        <v>5146</v>
      </c>
      <c r="F709" s="67" t="s">
        <v>12</v>
      </c>
      <c r="G709" s="67" t="s">
        <v>1602</v>
      </c>
      <c r="H709" s="67" t="s">
        <v>161</v>
      </c>
      <c r="I709" s="67" t="s">
        <v>161</v>
      </c>
      <c r="J709" s="67" t="s">
        <v>161</v>
      </c>
      <c r="K709" s="67" t="s">
        <v>161</v>
      </c>
      <c r="L709" s="67" t="s">
        <v>1605</v>
      </c>
      <c r="M709" s="67" t="s">
        <v>5158</v>
      </c>
      <c r="N709" s="67" t="s">
        <v>5158</v>
      </c>
      <c r="O709" s="67" t="s">
        <v>165</v>
      </c>
      <c r="P709" s="67" t="s">
        <v>161</v>
      </c>
    </row>
    <row r="710" s="43" customFormat="1" customHeight="1" spans="1:16">
      <c r="A710" s="67" t="s">
        <v>5159</v>
      </c>
      <c r="B710" s="67">
        <v>40.85</v>
      </c>
      <c r="C710" s="67">
        <v>1</v>
      </c>
      <c r="D710" s="67" t="s">
        <v>5134</v>
      </c>
      <c r="E710" s="67" t="s">
        <v>2914</v>
      </c>
      <c r="F710" s="67" t="s">
        <v>12</v>
      </c>
      <c r="G710" s="67" t="s">
        <v>5160</v>
      </c>
      <c r="H710" s="67" t="s">
        <v>161</v>
      </c>
      <c r="I710" s="67" t="s">
        <v>161</v>
      </c>
      <c r="J710" s="67" t="s">
        <v>161</v>
      </c>
      <c r="K710" s="67" t="s">
        <v>161</v>
      </c>
      <c r="L710" s="67" t="s">
        <v>5161</v>
      </c>
      <c r="M710" s="67" t="s">
        <v>5162</v>
      </c>
      <c r="N710" s="67" t="s">
        <v>5162</v>
      </c>
      <c r="O710" s="67" t="s">
        <v>165</v>
      </c>
      <c r="P710" s="67" t="s">
        <v>161</v>
      </c>
    </row>
    <row r="711" s="43" customFormat="1" customHeight="1" spans="1:16">
      <c r="A711" s="67" t="s">
        <v>5163</v>
      </c>
      <c r="B711" s="67">
        <v>13.89</v>
      </c>
      <c r="C711" s="67">
        <v>1</v>
      </c>
      <c r="D711" s="67" t="s">
        <v>1214</v>
      </c>
      <c r="E711" s="67" t="s">
        <v>5164</v>
      </c>
      <c r="F711" s="67" t="s">
        <v>12</v>
      </c>
      <c r="G711" s="67" t="s">
        <v>5160</v>
      </c>
      <c r="H711" s="67" t="s">
        <v>161</v>
      </c>
      <c r="I711" s="67" t="s">
        <v>161</v>
      </c>
      <c r="J711" s="67" t="s">
        <v>161</v>
      </c>
      <c r="K711" s="67" t="s">
        <v>161</v>
      </c>
      <c r="L711" s="67" t="s">
        <v>5161</v>
      </c>
      <c r="M711" s="67" t="s">
        <v>5165</v>
      </c>
      <c r="N711" s="67" t="s">
        <v>5165</v>
      </c>
      <c r="O711" s="67" t="s">
        <v>165</v>
      </c>
      <c r="P711" s="67" t="s">
        <v>161</v>
      </c>
    </row>
    <row r="712" hidden="1" customHeight="1" spans="1:16">
      <c r="A712" s="64" t="s">
        <v>140</v>
      </c>
      <c r="B712" s="64" t="s">
        <v>141</v>
      </c>
      <c r="C712" s="64" t="s">
        <v>142</v>
      </c>
      <c r="D712" s="64" t="s">
        <v>143</v>
      </c>
      <c r="E712" s="64" t="s">
        <v>144</v>
      </c>
      <c r="F712" s="64" t="s">
        <v>145</v>
      </c>
      <c r="G712" s="64" t="s">
        <v>146</v>
      </c>
      <c r="H712" s="64" t="s">
        <v>147</v>
      </c>
      <c r="I712" s="64" t="s">
        <v>148</v>
      </c>
      <c r="J712" s="64" t="s">
        <v>149</v>
      </c>
      <c r="K712" s="64" t="s">
        <v>150</v>
      </c>
      <c r="L712" s="64" t="s">
        <v>151</v>
      </c>
      <c r="M712" s="64" t="s">
        <v>152</v>
      </c>
      <c r="N712" s="64" t="s">
        <v>153</v>
      </c>
      <c r="O712" s="64" t="s">
        <v>154</v>
      </c>
      <c r="P712" s="64" t="s">
        <v>155</v>
      </c>
    </row>
    <row r="713" hidden="1" customHeight="1" spans="1:16">
      <c r="A713" s="65" t="s">
        <v>640</v>
      </c>
      <c r="B713" s="65">
        <v>23.9</v>
      </c>
      <c r="C713" s="65">
        <v>2</v>
      </c>
      <c r="D713" s="65" t="s">
        <v>646</v>
      </c>
      <c r="E713" s="65" t="s">
        <v>647</v>
      </c>
      <c r="F713" s="65" t="s">
        <v>12</v>
      </c>
      <c r="G713" s="65" t="s">
        <v>641</v>
      </c>
      <c r="H713" s="65" t="s">
        <v>648</v>
      </c>
      <c r="I713" s="66" t="s">
        <v>5166</v>
      </c>
      <c r="J713" s="65" t="s">
        <v>649</v>
      </c>
      <c r="K713" s="65" t="s">
        <v>161</v>
      </c>
      <c r="L713" s="65" t="s">
        <v>643</v>
      </c>
      <c r="M713" s="65" t="s">
        <v>650</v>
      </c>
      <c r="N713" s="65" t="s">
        <v>650</v>
      </c>
      <c r="O713" s="65" t="s">
        <v>165</v>
      </c>
      <c r="P713" s="65" t="s">
        <v>651</v>
      </c>
    </row>
    <row r="714" hidden="1" customHeight="1" spans="1:16">
      <c r="A714" s="65" t="s">
        <v>1796</v>
      </c>
      <c r="B714" s="65">
        <v>23.9</v>
      </c>
      <c r="C714" s="65">
        <v>1</v>
      </c>
      <c r="D714" s="65" t="s">
        <v>1804</v>
      </c>
      <c r="E714" s="65" t="s">
        <v>1805</v>
      </c>
      <c r="F714" s="65" t="s">
        <v>12</v>
      </c>
      <c r="G714" s="65" t="s">
        <v>1799</v>
      </c>
      <c r="H714" s="65" t="s">
        <v>1806</v>
      </c>
      <c r="I714" s="66" t="s">
        <v>5166</v>
      </c>
      <c r="J714" s="65" t="s">
        <v>1807</v>
      </c>
      <c r="K714" s="65" t="s">
        <v>161</v>
      </c>
      <c r="L714" s="65" t="s">
        <v>1801</v>
      </c>
      <c r="M714" s="65" t="s">
        <v>1808</v>
      </c>
      <c r="N714" s="65" t="s">
        <v>1808</v>
      </c>
      <c r="O714" s="65" t="s">
        <v>165</v>
      </c>
      <c r="P714" s="65" t="s">
        <v>1789</v>
      </c>
    </row>
    <row r="715" hidden="1" customHeight="1" spans="1:16">
      <c r="A715" s="65" t="s">
        <v>3548</v>
      </c>
      <c r="B715" s="65">
        <v>67.1</v>
      </c>
      <c r="C715" s="65">
        <v>4</v>
      </c>
      <c r="D715" s="65" t="s">
        <v>3549</v>
      </c>
      <c r="E715" s="65" t="s">
        <v>3550</v>
      </c>
      <c r="F715" s="65" t="s">
        <v>12</v>
      </c>
      <c r="G715" s="65" t="s">
        <v>3551</v>
      </c>
      <c r="H715" s="65" t="s">
        <v>3552</v>
      </c>
      <c r="I715" s="66" t="s">
        <v>5166</v>
      </c>
      <c r="J715" s="65" t="s">
        <v>161</v>
      </c>
      <c r="K715" s="65" t="s">
        <v>161</v>
      </c>
      <c r="L715" s="65" t="s">
        <v>3553</v>
      </c>
      <c r="M715" s="65" t="s">
        <v>3554</v>
      </c>
      <c r="N715" s="65" t="s">
        <v>3554</v>
      </c>
      <c r="O715" s="65" t="s">
        <v>165</v>
      </c>
      <c r="P715" s="65" t="s">
        <v>3555</v>
      </c>
    </row>
    <row r="716" hidden="1" customHeight="1" spans="1:16">
      <c r="A716" s="65" t="s">
        <v>3644</v>
      </c>
      <c r="B716" s="65">
        <v>47.8</v>
      </c>
      <c r="C716" s="65">
        <v>4</v>
      </c>
      <c r="D716" s="65" t="s">
        <v>3645</v>
      </c>
      <c r="E716" s="65" t="s">
        <v>3646</v>
      </c>
      <c r="F716" s="65" t="s">
        <v>12</v>
      </c>
      <c r="G716" s="65" t="s">
        <v>3647</v>
      </c>
      <c r="H716" s="65" t="s">
        <v>3648</v>
      </c>
      <c r="I716" s="66" t="s">
        <v>5166</v>
      </c>
      <c r="J716" s="65" t="s">
        <v>161</v>
      </c>
      <c r="K716" s="65" t="s">
        <v>161</v>
      </c>
      <c r="L716" s="65" t="s">
        <v>3649</v>
      </c>
      <c r="M716" s="65" t="s">
        <v>3650</v>
      </c>
      <c r="N716" s="65" t="s">
        <v>3650</v>
      </c>
      <c r="O716" s="65" t="s">
        <v>165</v>
      </c>
      <c r="P716" s="65" t="s">
        <v>3651</v>
      </c>
    </row>
    <row r="717" hidden="1" customHeight="1" spans="1:16">
      <c r="A717" s="65" t="s">
        <v>3748</v>
      </c>
      <c r="B717" s="65">
        <v>47.8</v>
      </c>
      <c r="C717" s="65">
        <v>4</v>
      </c>
      <c r="D717" s="65" t="s">
        <v>3749</v>
      </c>
      <c r="E717" s="65" t="s">
        <v>3750</v>
      </c>
      <c r="F717" s="65" t="s">
        <v>12</v>
      </c>
      <c r="G717" s="65" t="s">
        <v>3751</v>
      </c>
      <c r="H717" s="65" t="s">
        <v>3752</v>
      </c>
      <c r="I717" s="66" t="s">
        <v>5166</v>
      </c>
      <c r="J717" s="65" t="s">
        <v>161</v>
      </c>
      <c r="K717" s="65" t="s">
        <v>161</v>
      </c>
      <c r="L717" s="65" t="s">
        <v>3753</v>
      </c>
      <c r="M717" s="65" t="s">
        <v>3754</v>
      </c>
      <c r="N717" s="65" t="s">
        <v>3754</v>
      </c>
      <c r="O717" s="65" t="s">
        <v>165</v>
      </c>
      <c r="P717" s="65" t="s">
        <v>3755</v>
      </c>
    </row>
    <row r="718" hidden="1" customHeight="1" spans="1:16">
      <c r="A718" s="65" t="s">
        <v>3764</v>
      </c>
      <c r="B718" s="65">
        <v>47.8</v>
      </c>
      <c r="C718" s="65">
        <v>4</v>
      </c>
      <c r="D718" s="65" t="s">
        <v>3765</v>
      </c>
      <c r="E718" s="65" t="s">
        <v>3766</v>
      </c>
      <c r="F718" s="65" t="s">
        <v>12</v>
      </c>
      <c r="G718" s="65" t="s">
        <v>3767</v>
      </c>
      <c r="H718" s="65" t="s">
        <v>3768</v>
      </c>
      <c r="I718" s="66" t="s">
        <v>5166</v>
      </c>
      <c r="J718" s="65" t="s">
        <v>161</v>
      </c>
      <c r="K718" s="65" t="s">
        <v>161</v>
      </c>
      <c r="L718" s="65" t="s">
        <v>3769</v>
      </c>
      <c r="M718" s="65" t="s">
        <v>3770</v>
      </c>
      <c r="N718" s="65" t="s">
        <v>3770</v>
      </c>
      <c r="O718" s="65" t="s">
        <v>165</v>
      </c>
      <c r="P718" s="65" t="s">
        <v>3771</v>
      </c>
    </row>
    <row r="719" hidden="1" customHeight="1" spans="1:16">
      <c r="A719" s="65" t="s">
        <v>3786</v>
      </c>
      <c r="B719" s="65">
        <v>53.7</v>
      </c>
      <c r="C719" s="65">
        <v>5</v>
      </c>
      <c r="D719" s="65" t="s">
        <v>3787</v>
      </c>
      <c r="E719" s="65" t="s">
        <v>3788</v>
      </c>
      <c r="F719" s="65" t="s">
        <v>12</v>
      </c>
      <c r="G719" s="65" t="s">
        <v>3789</v>
      </c>
      <c r="H719" s="65" t="s">
        <v>3790</v>
      </c>
      <c r="I719" s="66" t="s">
        <v>5166</v>
      </c>
      <c r="J719" s="65" t="s">
        <v>161</v>
      </c>
      <c r="K719" s="65" t="s">
        <v>161</v>
      </c>
      <c r="L719" s="65" t="s">
        <v>3791</v>
      </c>
      <c r="M719" s="65" t="s">
        <v>3792</v>
      </c>
      <c r="N719" s="65" t="s">
        <v>3792</v>
      </c>
      <c r="O719" s="65" t="s">
        <v>165</v>
      </c>
      <c r="P719" s="65" t="s">
        <v>3793</v>
      </c>
    </row>
    <row r="720" hidden="1" customHeight="1" spans="1:16">
      <c r="A720" s="65" t="s">
        <v>3834</v>
      </c>
      <c r="B720" s="65">
        <v>26.89</v>
      </c>
      <c r="C720" s="65">
        <v>2</v>
      </c>
      <c r="D720" s="65" t="s">
        <v>3262</v>
      </c>
      <c r="E720" s="65" t="s">
        <v>3263</v>
      </c>
      <c r="F720" s="65" t="s">
        <v>12</v>
      </c>
      <c r="G720" s="65" t="s">
        <v>3835</v>
      </c>
      <c r="H720" s="65" t="s">
        <v>3836</v>
      </c>
      <c r="I720" s="66" t="s">
        <v>5166</v>
      </c>
      <c r="J720" s="65" t="s">
        <v>161</v>
      </c>
      <c r="K720" s="65" t="s">
        <v>161</v>
      </c>
      <c r="L720" s="65" t="s">
        <v>3837</v>
      </c>
      <c r="M720" s="65" t="s">
        <v>3838</v>
      </c>
      <c r="N720" s="65" t="s">
        <v>3838</v>
      </c>
      <c r="O720" s="65" t="s">
        <v>165</v>
      </c>
      <c r="P720" s="65" t="s">
        <v>3839</v>
      </c>
    </row>
    <row r="721" hidden="1" customHeight="1" spans="1:16">
      <c r="A721" s="65" t="s">
        <v>3876</v>
      </c>
      <c r="B721" s="65">
        <v>35.97</v>
      </c>
      <c r="C721" s="65">
        <v>4</v>
      </c>
      <c r="D721" s="65" t="s">
        <v>3877</v>
      </c>
      <c r="E721" s="65" t="s">
        <v>3878</v>
      </c>
      <c r="F721" s="65" t="s">
        <v>12</v>
      </c>
      <c r="G721" s="65" t="s">
        <v>3879</v>
      </c>
      <c r="H721" s="65" t="s">
        <v>3880</v>
      </c>
      <c r="I721" s="66" t="s">
        <v>5166</v>
      </c>
      <c r="J721" s="65" t="s">
        <v>161</v>
      </c>
      <c r="K721" s="65" t="s">
        <v>161</v>
      </c>
      <c r="L721" s="65" t="s">
        <v>3881</v>
      </c>
      <c r="M721" s="65" t="s">
        <v>3882</v>
      </c>
      <c r="N721" s="65" t="s">
        <v>3882</v>
      </c>
      <c r="O721" s="65" t="s">
        <v>165</v>
      </c>
      <c r="P721" s="65" t="s">
        <v>3883</v>
      </c>
    </row>
    <row r="722" hidden="1" customHeight="1" spans="1:16">
      <c r="A722" s="65" t="s">
        <v>3911</v>
      </c>
      <c r="B722" s="65">
        <v>52.7</v>
      </c>
      <c r="C722" s="65">
        <v>5</v>
      </c>
      <c r="D722" s="65" t="s">
        <v>3912</v>
      </c>
      <c r="E722" s="65" t="s">
        <v>3913</v>
      </c>
      <c r="F722" s="65" t="s">
        <v>12</v>
      </c>
      <c r="G722" s="65" t="s">
        <v>3914</v>
      </c>
      <c r="H722" s="65" t="s">
        <v>3915</v>
      </c>
      <c r="I722" s="66" t="s">
        <v>5166</v>
      </c>
      <c r="J722" s="65" t="s">
        <v>161</v>
      </c>
      <c r="K722" s="65" t="s">
        <v>161</v>
      </c>
      <c r="L722" s="65" t="s">
        <v>3916</v>
      </c>
      <c r="M722" s="65" t="s">
        <v>3917</v>
      </c>
      <c r="N722" s="65" t="s">
        <v>3917</v>
      </c>
      <c r="O722" s="65" t="s">
        <v>165</v>
      </c>
      <c r="P722" s="65" t="s">
        <v>3918</v>
      </c>
    </row>
    <row r="723" hidden="1" customHeight="1" spans="1:16">
      <c r="A723" s="65" t="s">
        <v>4050</v>
      </c>
      <c r="B723" s="65">
        <v>50.07</v>
      </c>
      <c r="C723" s="65">
        <v>5</v>
      </c>
      <c r="D723" s="65" t="s">
        <v>4051</v>
      </c>
      <c r="E723" s="65" t="s">
        <v>4052</v>
      </c>
      <c r="F723" s="65" t="s">
        <v>12</v>
      </c>
      <c r="G723" s="65" t="s">
        <v>4053</v>
      </c>
      <c r="H723" s="65" t="s">
        <v>4054</v>
      </c>
      <c r="I723" s="66" t="s">
        <v>5166</v>
      </c>
      <c r="J723" s="65" t="s">
        <v>161</v>
      </c>
      <c r="K723" s="65" t="s">
        <v>161</v>
      </c>
      <c r="L723" s="65" t="s">
        <v>4055</v>
      </c>
      <c r="M723" s="65" t="s">
        <v>4056</v>
      </c>
      <c r="N723" s="65" t="s">
        <v>4056</v>
      </c>
      <c r="O723" s="65" t="s">
        <v>165</v>
      </c>
      <c r="P723" s="65" t="s">
        <v>4057</v>
      </c>
    </row>
    <row r="724" hidden="1" customHeight="1" spans="1:16">
      <c r="A724" s="65" t="s">
        <v>4084</v>
      </c>
      <c r="B724" s="65">
        <v>26.89</v>
      </c>
      <c r="C724" s="65">
        <v>2</v>
      </c>
      <c r="D724" s="65" t="s">
        <v>3479</v>
      </c>
      <c r="E724" s="65" t="s">
        <v>3480</v>
      </c>
      <c r="F724" s="65" t="s">
        <v>12</v>
      </c>
      <c r="G724" s="65" t="s">
        <v>4085</v>
      </c>
      <c r="H724" s="65" t="s">
        <v>4086</v>
      </c>
      <c r="I724" s="66" t="s">
        <v>5166</v>
      </c>
      <c r="J724" s="65" t="s">
        <v>161</v>
      </c>
      <c r="K724" s="65" t="s">
        <v>4087</v>
      </c>
      <c r="L724" s="65" t="s">
        <v>4088</v>
      </c>
      <c r="M724" s="65" t="s">
        <v>4089</v>
      </c>
      <c r="N724" s="65" t="s">
        <v>4089</v>
      </c>
      <c r="O724" s="65" t="s">
        <v>165</v>
      </c>
      <c r="P724" s="65" t="s">
        <v>4090</v>
      </c>
    </row>
    <row r="725" hidden="1" customHeight="1" spans="1:16">
      <c r="A725" s="65" t="s">
        <v>4105</v>
      </c>
      <c r="B725" s="65">
        <v>11.89</v>
      </c>
      <c r="C725" s="65">
        <v>2</v>
      </c>
      <c r="D725" s="65" t="s">
        <v>4106</v>
      </c>
      <c r="E725" s="65" t="s">
        <v>3654</v>
      </c>
      <c r="F725" s="65" t="s">
        <v>12</v>
      </c>
      <c r="G725" s="65" t="s">
        <v>4107</v>
      </c>
      <c r="H725" s="65" t="s">
        <v>4108</v>
      </c>
      <c r="I725" s="66" t="s">
        <v>5166</v>
      </c>
      <c r="J725" s="65" t="s">
        <v>649</v>
      </c>
      <c r="K725" s="65" t="s">
        <v>161</v>
      </c>
      <c r="L725" s="65" t="s">
        <v>4109</v>
      </c>
      <c r="M725" s="65" t="s">
        <v>4110</v>
      </c>
      <c r="N725" s="65" t="s">
        <v>4110</v>
      </c>
      <c r="O725" s="65" t="s">
        <v>165</v>
      </c>
      <c r="P725" s="65" t="s">
        <v>4111</v>
      </c>
    </row>
    <row r="726" hidden="1" customHeight="1" spans="1:16">
      <c r="A726" s="65" t="s">
        <v>4120</v>
      </c>
      <c r="B726" s="65">
        <v>26.89</v>
      </c>
      <c r="C726" s="65">
        <v>2</v>
      </c>
      <c r="D726" s="65" t="s">
        <v>3262</v>
      </c>
      <c r="E726" s="65" t="s">
        <v>3263</v>
      </c>
      <c r="F726" s="65" t="s">
        <v>12</v>
      </c>
      <c r="G726" s="65" t="s">
        <v>4121</v>
      </c>
      <c r="H726" s="65" t="s">
        <v>4122</v>
      </c>
      <c r="I726" s="66" t="s">
        <v>5166</v>
      </c>
      <c r="J726" s="65" t="s">
        <v>649</v>
      </c>
      <c r="K726" s="65" t="s">
        <v>161</v>
      </c>
      <c r="L726" s="65" t="s">
        <v>4123</v>
      </c>
      <c r="M726" s="65" t="s">
        <v>4124</v>
      </c>
      <c r="N726" s="65" t="s">
        <v>4124</v>
      </c>
      <c r="O726" s="65" t="s">
        <v>165</v>
      </c>
      <c r="P726" s="65" t="s">
        <v>4125</v>
      </c>
    </row>
    <row r="727" hidden="1" customHeight="1" spans="1:16">
      <c r="A727" s="65" t="s">
        <v>4126</v>
      </c>
      <c r="B727" s="65">
        <v>32.79</v>
      </c>
      <c r="C727" s="65">
        <v>3</v>
      </c>
      <c r="D727" s="65" t="s">
        <v>4127</v>
      </c>
      <c r="E727" s="65" t="s">
        <v>3417</v>
      </c>
      <c r="F727" s="65" t="s">
        <v>12</v>
      </c>
      <c r="G727" s="65" t="s">
        <v>4128</v>
      </c>
      <c r="H727" s="65" t="s">
        <v>4129</v>
      </c>
      <c r="I727" s="66" t="s">
        <v>5166</v>
      </c>
      <c r="J727" s="65" t="s">
        <v>649</v>
      </c>
      <c r="K727" s="65" t="s">
        <v>161</v>
      </c>
      <c r="L727" s="65" t="s">
        <v>4130</v>
      </c>
      <c r="M727" s="65" t="s">
        <v>4131</v>
      </c>
      <c r="N727" s="65" t="s">
        <v>4131</v>
      </c>
      <c r="O727" s="65" t="s">
        <v>165</v>
      </c>
      <c r="P727" s="65" t="s">
        <v>4132</v>
      </c>
    </row>
    <row r="728" hidden="1" customHeight="1" spans="1:16">
      <c r="A728" s="65" t="s">
        <v>4133</v>
      </c>
      <c r="B728" s="65">
        <v>47.8</v>
      </c>
      <c r="C728" s="65">
        <v>4</v>
      </c>
      <c r="D728" s="65" t="s">
        <v>4134</v>
      </c>
      <c r="E728" s="65" t="s">
        <v>4135</v>
      </c>
      <c r="F728" s="65" t="s">
        <v>12</v>
      </c>
      <c r="G728" s="65" t="s">
        <v>4136</v>
      </c>
      <c r="H728" s="65" t="s">
        <v>4137</v>
      </c>
      <c r="I728" s="66" t="s">
        <v>5166</v>
      </c>
      <c r="J728" s="65" t="s">
        <v>161</v>
      </c>
      <c r="K728" s="65" t="s">
        <v>161</v>
      </c>
      <c r="L728" s="65" t="s">
        <v>4138</v>
      </c>
      <c r="M728" s="65" t="s">
        <v>4139</v>
      </c>
      <c r="N728" s="65" t="s">
        <v>4139</v>
      </c>
      <c r="O728" s="65" t="s">
        <v>165</v>
      </c>
      <c r="P728" s="65" t="s">
        <v>4140</v>
      </c>
    </row>
    <row r="729" hidden="1" customHeight="1" spans="1:16">
      <c r="A729" s="65" t="s">
        <v>4162</v>
      </c>
      <c r="B729" s="65">
        <v>59.65</v>
      </c>
      <c r="C729" s="65">
        <v>6</v>
      </c>
      <c r="D729" s="65" t="s">
        <v>4163</v>
      </c>
      <c r="E729" s="65" t="s">
        <v>4164</v>
      </c>
      <c r="F729" s="65" t="s">
        <v>12</v>
      </c>
      <c r="G729" s="65" t="s">
        <v>4165</v>
      </c>
      <c r="H729" s="65" t="s">
        <v>4166</v>
      </c>
      <c r="I729" s="66" t="s">
        <v>5166</v>
      </c>
      <c r="J729" s="65" t="s">
        <v>161</v>
      </c>
      <c r="K729" s="65" t="s">
        <v>161</v>
      </c>
      <c r="L729" s="65" t="s">
        <v>4167</v>
      </c>
      <c r="M729" s="65" t="s">
        <v>4168</v>
      </c>
      <c r="N729" s="65" t="s">
        <v>4168</v>
      </c>
      <c r="O729" s="65" t="s">
        <v>165</v>
      </c>
      <c r="P729" s="65" t="s">
        <v>4169</v>
      </c>
    </row>
    <row r="730" hidden="1" customHeight="1" spans="1:16">
      <c r="A730" s="65" t="s">
        <v>4170</v>
      </c>
      <c r="B730" s="65">
        <v>47.8</v>
      </c>
      <c r="C730" s="65">
        <v>4</v>
      </c>
      <c r="D730" s="65" t="s">
        <v>4171</v>
      </c>
      <c r="E730" s="65" t="s">
        <v>4172</v>
      </c>
      <c r="F730" s="65" t="s">
        <v>12</v>
      </c>
      <c r="G730" s="65" t="s">
        <v>4173</v>
      </c>
      <c r="H730" s="65" t="s">
        <v>4174</v>
      </c>
      <c r="I730" s="66" t="s">
        <v>5166</v>
      </c>
      <c r="J730" s="65" t="s">
        <v>161</v>
      </c>
      <c r="K730" s="65" t="s">
        <v>161</v>
      </c>
      <c r="L730" s="65" t="s">
        <v>4175</v>
      </c>
      <c r="M730" s="65" t="s">
        <v>4176</v>
      </c>
      <c r="N730" s="65" t="s">
        <v>4176</v>
      </c>
      <c r="O730" s="65" t="s">
        <v>165</v>
      </c>
      <c r="P730" s="65" t="s">
        <v>4177</v>
      </c>
    </row>
    <row r="731" hidden="1" customHeight="1" spans="1:16">
      <c r="A731" s="65" t="s">
        <v>4178</v>
      </c>
      <c r="B731" s="65">
        <v>59.65</v>
      </c>
      <c r="C731" s="65">
        <v>6</v>
      </c>
      <c r="D731" s="65" t="s">
        <v>4179</v>
      </c>
      <c r="E731" s="65" t="s">
        <v>4180</v>
      </c>
      <c r="F731" s="65" t="s">
        <v>12</v>
      </c>
      <c r="G731" s="65" t="s">
        <v>4181</v>
      </c>
      <c r="H731" s="65" t="s">
        <v>4182</v>
      </c>
      <c r="I731" s="66" t="s">
        <v>5166</v>
      </c>
      <c r="J731" s="65" t="s">
        <v>161</v>
      </c>
      <c r="K731" s="65" t="s">
        <v>161</v>
      </c>
      <c r="L731" s="65" t="s">
        <v>4183</v>
      </c>
      <c r="M731" s="65" t="s">
        <v>4184</v>
      </c>
      <c r="N731" s="65" t="s">
        <v>4184</v>
      </c>
      <c r="O731" s="65" t="s">
        <v>165</v>
      </c>
      <c r="P731" s="65" t="s">
        <v>4185</v>
      </c>
    </row>
    <row r="732" hidden="1" customHeight="1" spans="1:16">
      <c r="A732" s="65" t="s">
        <v>4209</v>
      </c>
      <c r="B732" s="65">
        <v>17.96</v>
      </c>
      <c r="C732" s="65">
        <v>4</v>
      </c>
      <c r="D732" s="65" t="s">
        <v>4210</v>
      </c>
      <c r="E732" s="65" t="s">
        <v>4211</v>
      </c>
      <c r="F732" s="65" t="s">
        <v>12</v>
      </c>
      <c r="G732" s="65" t="s">
        <v>870</v>
      </c>
      <c r="H732" s="65" t="s">
        <v>4212</v>
      </c>
      <c r="I732" s="66" t="s">
        <v>5166</v>
      </c>
      <c r="J732" s="65" t="s">
        <v>649</v>
      </c>
      <c r="K732" s="65" t="s">
        <v>161</v>
      </c>
      <c r="L732" s="65" t="s">
        <v>4213</v>
      </c>
      <c r="M732" s="65" t="s">
        <v>4214</v>
      </c>
      <c r="N732" s="65" t="s">
        <v>4214</v>
      </c>
      <c r="O732" s="65" t="s">
        <v>165</v>
      </c>
      <c r="P732" s="65" t="s">
        <v>4215</v>
      </c>
    </row>
    <row r="733" hidden="1" customHeight="1" spans="1:16">
      <c r="A733" s="65" t="s">
        <v>4216</v>
      </c>
      <c r="B733" s="65">
        <v>64.55</v>
      </c>
      <c r="C733" s="65">
        <v>7</v>
      </c>
      <c r="D733" s="65" t="s">
        <v>4217</v>
      </c>
      <c r="E733" s="65" t="s">
        <v>4218</v>
      </c>
      <c r="F733" s="65" t="s">
        <v>12</v>
      </c>
      <c r="G733" s="65" t="s">
        <v>4219</v>
      </c>
      <c r="H733" s="65" t="s">
        <v>4220</v>
      </c>
      <c r="I733" s="66" t="s">
        <v>5166</v>
      </c>
      <c r="J733" s="65" t="s">
        <v>649</v>
      </c>
      <c r="K733" s="65" t="s">
        <v>161</v>
      </c>
      <c r="L733" s="65" t="s">
        <v>4221</v>
      </c>
      <c r="M733" s="65" t="s">
        <v>4222</v>
      </c>
      <c r="N733" s="65" t="s">
        <v>4222</v>
      </c>
      <c r="O733" s="65" t="s">
        <v>165</v>
      </c>
      <c r="P733" s="65" t="s">
        <v>4223</v>
      </c>
    </row>
    <row r="734" hidden="1" customHeight="1" spans="1:16">
      <c r="A734" s="65" t="s">
        <v>4224</v>
      </c>
      <c r="B734" s="65">
        <v>47.8</v>
      </c>
      <c r="C734" s="65">
        <v>4</v>
      </c>
      <c r="D734" s="65" t="s">
        <v>4225</v>
      </c>
      <c r="E734" s="65" t="s">
        <v>4226</v>
      </c>
      <c r="F734" s="65" t="s">
        <v>12</v>
      </c>
      <c r="G734" s="65" t="s">
        <v>4227</v>
      </c>
      <c r="H734" s="65" t="s">
        <v>4228</v>
      </c>
      <c r="I734" s="66" t="s">
        <v>5166</v>
      </c>
      <c r="J734" s="65" t="s">
        <v>649</v>
      </c>
      <c r="K734" s="65" t="s">
        <v>161</v>
      </c>
      <c r="L734" s="65" t="s">
        <v>4229</v>
      </c>
      <c r="M734" s="65" t="s">
        <v>4230</v>
      </c>
      <c r="N734" s="65" t="s">
        <v>4230</v>
      </c>
      <c r="O734" s="65" t="s">
        <v>165</v>
      </c>
      <c r="P734" s="65" t="s">
        <v>4231</v>
      </c>
    </row>
    <row r="735" hidden="1" customHeight="1" spans="1:16">
      <c r="A735" s="65" t="s">
        <v>4240</v>
      </c>
      <c r="B735" s="65">
        <v>32.39</v>
      </c>
      <c r="C735" s="65">
        <v>3</v>
      </c>
      <c r="D735" s="65" t="s">
        <v>3368</v>
      </c>
      <c r="E735" s="65" t="s">
        <v>3369</v>
      </c>
      <c r="F735" s="65" t="s">
        <v>12</v>
      </c>
      <c r="G735" s="65" t="s">
        <v>4241</v>
      </c>
      <c r="H735" s="65" t="s">
        <v>4242</v>
      </c>
      <c r="I735" s="66" t="s">
        <v>5166</v>
      </c>
      <c r="J735" s="65" t="s">
        <v>649</v>
      </c>
      <c r="K735" s="65" t="s">
        <v>161</v>
      </c>
      <c r="L735" s="65" t="s">
        <v>4243</v>
      </c>
      <c r="M735" s="65" t="s">
        <v>4244</v>
      </c>
      <c r="N735" s="65" t="s">
        <v>4244</v>
      </c>
      <c r="O735" s="65" t="s">
        <v>165</v>
      </c>
      <c r="P735" s="65" t="s">
        <v>4245</v>
      </c>
    </row>
    <row r="736" hidden="1" customHeight="1" spans="1:16">
      <c r="A736" s="65" t="s">
        <v>4254</v>
      </c>
      <c r="B736" s="65">
        <v>52.7</v>
      </c>
      <c r="C736" s="65">
        <v>5</v>
      </c>
      <c r="D736" s="65" t="s">
        <v>4255</v>
      </c>
      <c r="E736" s="65" t="s">
        <v>4256</v>
      </c>
      <c r="F736" s="65" t="s">
        <v>12</v>
      </c>
      <c r="G736" s="65" t="s">
        <v>4257</v>
      </c>
      <c r="H736" s="65" t="s">
        <v>4258</v>
      </c>
      <c r="I736" s="66" t="s">
        <v>5166</v>
      </c>
      <c r="J736" s="65" t="s">
        <v>649</v>
      </c>
      <c r="K736" s="65" t="s">
        <v>161</v>
      </c>
      <c r="L736" s="65" t="s">
        <v>4259</v>
      </c>
      <c r="M736" s="65" t="s">
        <v>4260</v>
      </c>
      <c r="N736" s="65" t="s">
        <v>4260</v>
      </c>
      <c r="O736" s="65" t="s">
        <v>165</v>
      </c>
      <c r="P736" s="65" t="s">
        <v>4261</v>
      </c>
    </row>
    <row r="737" hidden="1" customHeight="1" spans="1:16">
      <c r="A737" s="65" t="s">
        <v>4268</v>
      </c>
      <c r="B737" s="65">
        <v>11.89</v>
      </c>
      <c r="C737" s="65">
        <v>2</v>
      </c>
      <c r="D737" s="65" t="s">
        <v>4106</v>
      </c>
      <c r="E737" s="65" t="s">
        <v>3654</v>
      </c>
      <c r="F737" s="65" t="s">
        <v>12</v>
      </c>
      <c r="G737" s="65" t="s">
        <v>4269</v>
      </c>
      <c r="H737" s="65" t="s">
        <v>4270</v>
      </c>
      <c r="I737" s="66" t="s">
        <v>5166</v>
      </c>
      <c r="J737" s="65" t="s">
        <v>649</v>
      </c>
      <c r="K737" s="65" t="s">
        <v>161</v>
      </c>
      <c r="L737" s="65" t="s">
        <v>4271</v>
      </c>
      <c r="M737" s="65" t="s">
        <v>4272</v>
      </c>
      <c r="N737" s="65" t="s">
        <v>4272</v>
      </c>
      <c r="O737" s="65" t="s">
        <v>165</v>
      </c>
      <c r="P737" s="65" t="s">
        <v>4273</v>
      </c>
    </row>
    <row r="738" hidden="1" customHeight="1" spans="1:16">
      <c r="A738" s="65" t="s">
        <v>4274</v>
      </c>
      <c r="B738" s="65">
        <v>11.89</v>
      </c>
      <c r="C738" s="65">
        <v>2</v>
      </c>
      <c r="D738" s="65" t="s">
        <v>4106</v>
      </c>
      <c r="E738" s="65" t="s">
        <v>3654</v>
      </c>
      <c r="F738" s="65" t="s">
        <v>12</v>
      </c>
      <c r="G738" s="65" t="s">
        <v>4269</v>
      </c>
      <c r="H738" s="65" t="s">
        <v>4275</v>
      </c>
      <c r="I738" s="66" t="s">
        <v>5166</v>
      </c>
      <c r="J738" s="65" t="s">
        <v>649</v>
      </c>
      <c r="K738" s="65" t="s">
        <v>161</v>
      </c>
      <c r="L738" s="65" t="s">
        <v>4271</v>
      </c>
      <c r="M738" s="65" t="s">
        <v>4276</v>
      </c>
      <c r="N738" s="65" t="s">
        <v>4276</v>
      </c>
      <c r="O738" s="65" t="s">
        <v>165</v>
      </c>
      <c r="P738" s="65" t="s">
        <v>4277</v>
      </c>
    </row>
    <row r="739" hidden="1" customHeight="1" spans="1:16">
      <c r="A739" s="65" t="s">
        <v>4278</v>
      </c>
      <c r="B739" s="65">
        <v>11.89</v>
      </c>
      <c r="C739" s="65">
        <v>2</v>
      </c>
      <c r="D739" s="65" t="s">
        <v>4106</v>
      </c>
      <c r="E739" s="65" t="s">
        <v>3654</v>
      </c>
      <c r="F739" s="65" t="s">
        <v>12</v>
      </c>
      <c r="G739" s="65" t="s">
        <v>4269</v>
      </c>
      <c r="H739" s="65" t="s">
        <v>4279</v>
      </c>
      <c r="I739" s="66" t="s">
        <v>5166</v>
      </c>
      <c r="J739" s="65" t="s">
        <v>649</v>
      </c>
      <c r="K739" s="65" t="s">
        <v>161</v>
      </c>
      <c r="L739" s="65" t="s">
        <v>4271</v>
      </c>
      <c r="M739" s="65" t="s">
        <v>4280</v>
      </c>
      <c r="N739" s="65" t="s">
        <v>4280</v>
      </c>
      <c r="O739" s="65" t="s">
        <v>165</v>
      </c>
      <c r="P739" s="65" t="s">
        <v>4281</v>
      </c>
    </row>
    <row r="740" hidden="1" customHeight="1" spans="1:16">
      <c r="A740" s="65" t="s">
        <v>4282</v>
      </c>
      <c r="B740" s="65">
        <v>11.89</v>
      </c>
      <c r="C740" s="65">
        <v>2</v>
      </c>
      <c r="D740" s="65" t="s">
        <v>4106</v>
      </c>
      <c r="E740" s="65" t="s">
        <v>3654</v>
      </c>
      <c r="F740" s="65" t="s">
        <v>12</v>
      </c>
      <c r="G740" s="65" t="s">
        <v>4269</v>
      </c>
      <c r="H740" s="65" t="s">
        <v>4283</v>
      </c>
      <c r="I740" s="66" t="s">
        <v>5166</v>
      </c>
      <c r="J740" s="65" t="s">
        <v>649</v>
      </c>
      <c r="K740" s="65" t="s">
        <v>161</v>
      </c>
      <c r="L740" s="65" t="s">
        <v>4271</v>
      </c>
      <c r="M740" s="65" t="s">
        <v>4284</v>
      </c>
      <c r="N740" s="65" t="s">
        <v>4284</v>
      </c>
      <c r="O740" s="65" t="s">
        <v>165</v>
      </c>
      <c r="P740" s="65" t="s">
        <v>4285</v>
      </c>
    </row>
    <row r="741" hidden="1" customHeight="1" spans="1:16">
      <c r="A741" s="65" t="s">
        <v>4286</v>
      </c>
      <c r="B741" s="65">
        <v>35.75</v>
      </c>
      <c r="C741" s="65">
        <v>4</v>
      </c>
      <c r="D741" s="65" t="s">
        <v>3376</v>
      </c>
      <c r="E741" s="65" t="s">
        <v>3377</v>
      </c>
      <c r="F741" s="65" t="s">
        <v>12</v>
      </c>
      <c r="G741" s="65" t="s">
        <v>4287</v>
      </c>
      <c r="H741" s="65" t="s">
        <v>4288</v>
      </c>
      <c r="I741" s="66" t="s">
        <v>5166</v>
      </c>
      <c r="J741" s="65" t="s">
        <v>649</v>
      </c>
      <c r="K741" s="65" t="s">
        <v>161</v>
      </c>
      <c r="L741" s="65" t="s">
        <v>4289</v>
      </c>
      <c r="M741" s="65" t="s">
        <v>4290</v>
      </c>
      <c r="N741" s="65" t="s">
        <v>4290</v>
      </c>
      <c r="O741" s="65" t="s">
        <v>165</v>
      </c>
      <c r="P741" s="65" t="s">
        <v>4291</v>
      </c>
    </row>
    <row r="742" hidden="1" customHeight="1" spans="1:16">
      <c r="A742" s="65" t="s">
        <v>4292</v>
      </c>
      <c r="B742" s="65">
        <v>26.89</v>
      </c>
      <c r="C742" s="65">
        <v>2</v>
      </c>
      <c r="D742" s="65" t="s">
        <v>3262</v>
      </c>
      <c r="E742" s="65" t="s">
        <v>3263</v>
      </c>
      <c r="F742" s="65" t="s">
        <v>12</v>
      </c>
      <c r="G742" s="65" t="s">
        <v>4293</v>
      </c>
      <c r="H742" s="65" t="s">
        <v>4294</v>
      </c>
      <c r="I742" s="66" t="s">
        <v>5166</v>
      </c>
      <c r="J742" s="65" t="s">
        <v>649</v>
      </c>
      <c r="K742" s="65" t="s">
        <v>161</v>
      </c>
      <c r="L742" s="65" t="s">
        <v>4295</v>
      </c>
      <c r="M742" s="65" t="s">
        <v>4296</v>
      </c>
      <c r="N742" s="65" t="s">
        <v>4296</v>
      </c>
      <c r="O742" s="65" t="s">
        <v>165</v>
      </c>
      <c r="P742" s="65" t="s">
        <v>4297</v>
      </c>
    </row>
    <row r="743" hidden="1" customHeight="1" spans="1:16">
      <c r="A743" s="65" t="s">
        <v>4298</v>
      </c>
      <c r="B743" s="65">
        <v>30.85</v>
      </c>
      <c r="C743" s="65">
        <v>3</v>
      </c>
      <c r="D743" s="65" t="s">
        <v>3368</v>
      </c>
      <c r="E743" s="65" t="s">
        <v>3369</v>
      </c>
      <c r="F743" s="65" t="s">
        <v>12</v>
      </c>
      <c r="G743" s="65" t="s">
        <v>4299</v>
      </c>
      <c r="H743" s="65" t="s">
        <v>4300</v>
      </c>
      <c r="I743" s="66" t="s">
        <v>5166</v>
      </c>
      <c r="J743" s="65" t="s">
        <v>649</v>
      </c>
      <c r="K743" s="65" t="s">
        <v>161</v>
      </c>
      <c r="L743" s="65" t="s">
        <v>4301</v>
      </c>
      <c r="M743" s="65" t="s">
        <v>4302</v>
      </c>
      <c r="N743" s="65" t="s">
        <v>4302</v>
      </c>
      <c r="O743" s="65" t="s">
        <v>165</v>
      </c>
      <c r="P743" s="65" t="s">
        <v>4303</v>
      </c>
    </row>
    <row r="744" hidden="1" customHeight="1" spans="1:16">
      <c r="A744" s="65" t="s">
        <v>4304</v>
      </c>
      <c r="B744" s="65">
        <v>30.85</v>
      </c>
      <c r="C744" s="65">
        <v>3</v>
      </c>
      <c r="D744" s="65" t="s">
        <v>3368</v>
      </c>
      <c r="E744" s="65" t="s">
        <v>3369</v>
      </c>
      <c r="F744" s="65" t="s">
        <v>12</v>
      </c>
      <c r="G744" s="65" t="s">
        <v>4305</v>
      </c>
      <c r="H744" s="65" t="s">
        <v>4306</v>
      </c>
      <c r="I744" s="66" t="s">
        <v>5166</v>
      </c>
      <c r="J744" s="65" t="s">
        <v>649</v>
      </c>
      <c r="K744" s="65" t="s">
        <v>161</v>
      </c>
      <c r="L744" s="65" t="s">
        <v>4307</v>
      </c>
      <c r="M744" s="65" t="s">
        <v>4308</v>
      </c>
      <c r="N744" s="65" t="s">
        <v>4308</v>
      </c>
      <c r="O744" s="65" t="s">
        <v>165</v>
      </c>
      <c r="P744" s="65" t="s">
        <v>4309</v>
      </c>
    </row>
    <row r="745" hidden="1" customHeight="1" spans="1:16">
      <c r="A745" s="65" t="s">
        <v>4310</v>
      </c>
      <c r="B745" s="65">
        <v>47.8</v>
      </c>
      <c r="C745" s="65">
        <v>4</v>
      </c>
      <c r="D745" s="65" t="s">
        <v>4311</v>
      </c>
      <c r="E745" s="65" t="s">
        <v>4312</v>
      </c>
      <c r="F745" s="65" t="s">
        <v>12</v>
      </c>
      <c r="G745" s="65" t="s">
        <v>4313</v>
      </c>
      <c r="H745" s="65" t="s">
        <v>4314</v>
      </c>
      <c r="I745" s="66" t="s">
        <v>5166</v>
      </c>
      <c r="J745" s="65" t="s">
        <v>649</v>
      </c>
      <c r="K745" s="65" t="s">
        <v>161</v>
      </c>
      <c r="L745" s="65" t="s">
        <v>4315</v>
      </c>
      <c r="M745" s="65" t="s">
        <v>4316</v>
      </c>
      <c r="N745" s="65" t="s">
        <v>4316</v>
      </c>
      <c r="O745" s="65" t="s">
        <v>165</v>
      </c>
      <c r="P745" s="65" t="s">
        <v>4317</v>
      </c>
    </row>
    <row r="746" hidden="1" customHeight="1" spans="1:16">
      <c r="A746" s="65" t="s">
        <v>4318</v>
      </c>
      <c r="B746" s="65">
        <v>26.89</v>
      </c>
      <c r="C746" s="65">
        <v>2</v>
      </c>
      <c r="D746" s="65" t="s">
        <v>3262</v>
      </c>
      <c r="E746" s="65" t="s">
        <v>3263</v>
      </c>
      <c r="F746" s="65" t="s">
        <v>12</v>
      </c>
      <c r="G746" s="65" t="s">
        <v>4319</v>
      </c>
      <c r="H746" s="65" t="s">
        <v>4320</v>
      </c>
      <c r="I746" s="66" t="s">
        <v>5166</v>
      </c>
      <c r="J746" s="65" t="s">
        <v>649</v>
      </c>
      <c r="K746" s="65" t="s">
        <v>161</v>
      </c>
      <c r="L746" s="65" t="s">
        <v>4321</v>
      </c>
      <c r="M746" s="65" t="s">
        <v>4322</v>
      </c>
      <c r="N746" s="65" t="s">
        <v>4322</v>
      </c>
      <c r="O746" s="65" t="s">
        <v>165</v>
      </c>
      <c r="P746" s="65" t="s">
        <v>4323</v>
      </c>
    </row>
    <row r="747" hidden="1" customHeight="1" spans="1:16">
      <c r="A747" s="65" t="s">
        <v>4332</v>
      </c>
      <c r="B747" s="65">
        <v>57.6</v>
      </c>
      <c r="C747" s="65">
        <v>6</v>
      </c>
      <c r="D747" s="65" t="s">
        <v>4333</v>
      </c>
      <c r="E747" s="65" t="s">
        <v>4334</v>
      </c>
      <c r="F747" s="65" t="s">
        <v>12</v>
      </c>
      <c r="G747" s="65" t="s">
        <v>4335</v>
      </c>
      <c r="H747" s="65" t="s">
        <v>4336</v>
      </c>
      <c r="I747" s="66" t="s">
        <v>5166</v>
      </c>
      <c r="J747" s="65" t="s">
        <v>649</v>
      </c>
      <c r="K747" s="65" t="s">
        <v>161</v>
      </c>
      <c r="L747" s="65" t="s">
        <v>4337</v>
      </c>
      <c r="M747" s="65" t="s">
        <v>4338</v>
      </c>
      <c r="N747" s="65" t="s">
        <v>4338</v>
      </c>
      <c r="O747" s="65" t="s">
        <v>165</v>
      </c>
      <c r="P747" s="65" t="s">
        <v>4339</v>
      </c>
    </row>
    <row r="748" hidden="1" customHeight="1" spans="1:16">
      <c r="A748" s="65" t="s">
        <v>4367</v>
      </c>
      <c r="B748" s="65">
        <v>39.33</v>
      </c>
      <c r="C748" s="65">
        <v>4</v>
      </c>
      <c r="D748" s="65" t="s">
        <v>3573</v>
      </c>
      <c r="E748" s="65" t="s">
        <v>3574</v>
      </c>
      <c r="F748" s="65" t="s">
        <v>12</v>
      </c>
      <c r="G748" s="65" t="s">
        <v>4368</v>
      </c>
      <c r="H748" s="65" t="s">
        <v>4369</v>
      </c>
      <c r="I748" s="66" t="s">
        <v>5166</v>
      </c>
      <c r="J748" s="65" t="s">
        <v>649</v>
      </c>
      <c r="K748" s="65" t="s">
        <v>161</v>
      </c>
      <c r="L748" s="65" t="s">
        <v>4370</v>
      </c>
      <c r="M748" s="65" t="s">
        <v>4371</v>
      </c>
      <c r="N748" s="65" t="s">
        <v>4371</v>
      </c>
      <c r="O748" s="65" t="s">
        <v>165</v>
      </c>
      <c r="P748" s="65" t="s">
        <v>4372</v>
      </c>
    </row>
    <row r="749" hidden="1" customHeight="1" spans="1:16">
      <c r="A749" s="65" t="s">
        <v>4379</v>
      </c>
      <c r="B749" s="65">
        <v>35.75</v>
      </c>
      <c r="C749" s="65">
        <v>4</v>
      </c>
      <c r="D749" s="65" t="s">
        <v>4380</v>
      </c>
      <c r="E749" s="65" t="s">
        <v>4381</v>
      </c>
      <c r="F749" s="65" t="s">
        <v>12</v>
      </c>
      <c r="G749" s="65" t="s">
        <v>4382</v>
      </c>
      <c r="H749" s="65" t="s">
        <v>4383</v>
      </c>
      <c r="I749" s="66" t="s">
        <v>5166</v>
      </c>
      <c r="J749" s="65" t="s">
        <v>649</v>
      </c>
      <c r="K749" s="65" t="s">
        <v>161</v>
      </c>
      <c r="L749" s="65" t="s">
        <v>4384</v>
      </c>
      <c r="M749" s="65" t="s">
        <v>4385</v>
      </c>
      <c r="N749" s="65" t="s">
        <v>4385</v>
      </c>
      <c r="O749" s="65" t="s">
        <v>165</v>
      </c>
      <c r="P749" s="65" t="s">
        <v>4386</v>
      </c>
    </row>
    <row r="750" hidden="1" customHeight="1" spans="1:16">
      <c r="A750" s="65" t="s">
        <v>4387</v>
      </c>
      <c r="B750" s="65">
        <v>52.7</v>
      </c>
      <c r="C750" s="65">
        <v>5</v>
      </c>
      <c r="D750" s="65" t="s">
        <v>4388</v>
      </c>
      <c r="E750" s="65" t="s">
        <v>4389</v>
      </c>
      <c r="F750" s="65" t="s">
        <v>12</v>
      </c>
      <c r="G750" s="65" t="s">
        <v>4390</v>
      </c>
      <c r="H750" s="65" t="s">
        <v>4391</v>
      </c>
      <c r="I750" s="66" t="s">
        <v>5166</v>
      </c>
      <c r="J750" s="65" t="s">
        <v>649</v>
      </c>
      <c r="K750" s="65" t="s">
        <v>161</v>
      </c>
      <c r="L750" s="65" t="s">
        <v>4392</v>
      </c>
      <c r="M750" s="65" t="s">
        <v>4393</v>
      </c>
      <c r="N750" s="65" t="s">
        <v>4393</v>
      </c>
      <c r="O750" s="65" t="s">
        <v>165</v>
      </c>
      <c r="P750" s="65" t="s">
        <v>4394</v>
      </c>
    </row>
    <row r="751" hidden="1" customHeight="1" spans="1:16">
      <c r="A751" s="65" t="s">
        <v>4403</v>
      </c>
      <c r="B751" s="65">
        <v>37.54</v>
      </c>
      <c r="C751" s="65">
        <v>4</v>
      </c>
      <c r="D751" s="65" t="s">
        <v>3376</v>
      </c>
      <c r="E751" s="65" t="s">
        <v>3377</v>
      </c>
      <c r="F751" s="65" t="s">
        <v>12</v>
      </c>
      <c r="G751" s="65" t="s">
        <v>4404</v>
      </c>
      <c r="H751" s="65" t="s">
        <v>4405</v>
      </c>
      <c r="I751" s="66" t="s">
        <v>5166</v>
      </c>
      <c r="J751" s="65" t="s">
        <v>649</v>
      </c>
      <c r="K751" s="65" t="s">
        <v>161</v>
      </c>
      <c r="L751" s="65" t="s">
        <v>4406</v>
      </c>
      <c r="M751" s="65" t="s">
        <v>4407</v>
      </c>
      <c r="N751" s="65" t="s">
        <v>4407</v>
      </c>
      <c r="O751" s="65" t="s">
        <v>165</v>
      </c>
      <c r="P751" s="65" t="s">
        <v>4408</v>
      </c>
    </row>
    <row r="752" hidden="1" customHeight="1" spans="1:16">
      <c r="A752" s="65" t="s">
        <v>4427</v>
      </c>
      <c r="B752" s="65">
        <v>48.8</v>
      </c>
      <c r="C752" s="65">
        <v>3</v>
      </c>
      <c r="D752" s="65" t="s">
        <v>4428</v>
      </c>
      <c r="E752" s="65" t="s">
        <v>4429</v>
      </c>
      <c r="F752" s="65" t="s">
        <v>12</v>
      </c>
      <c r="G752" s="65" t="s">
        <v>4430</v>
      </c>
      <c r="H752" s="65" t="s">
        <v>4431</v>
      </c>
      <c r="I752" s="66" t="s">
        <v>5166</v>
      </c>
      <c r="J752" s="65" t="s">
        <v>649</v>
      </c>
      <c r="K752" s="65" t="s">
        <v>161</v>
      </c>
      <c r="L752" s="65" t="s">
        <v>4432</v>
      </c>
      <c r="M752" s="65" t="s">
        <v>4433</v>
      </c>
      <c r="N752" s="65" t="s">
        <v>4433</v>
      </c>
      <c r="O752" s="65" t="s">
        <v>165</v>
      </c>
      <c r="P752" s="65" t="s">
        <v>4434</v>
      </c>
    </row>
    <row r="753" hidden="1" customHeight="1" spans="1:16">
      <c r="A753" s="65" t="s">
        <v>4435</v>
      </c>
      <c r="B753" s="65">
        <v>59.65</v>
      </c>
      <c r="C753" s="65">
        <v>6</v>
      </c>
      <c r="D753" s="65" t="s">
        <v>4436</v>
      </c>
      <c r="E753" s="65" t="s">
        <v>4437</v>
      </c>
      <c r="F753" s="65" t="s">
        <v>12</v>
      </c>
      <c r="G753" s="65" t="s">
        <v>4438</v>
      </c>
      <c r="H753" s="65" t="s">
        <v>4439</v>
      </c>
      <c r="I753" s="66" t="s">
        <v>5166</v>
      </c>
      <c r="J753" s="65" t="s">
        <v>649</v>
      </c>
      <c r="K753" s="65" t="s">
        <v>161</v>
      </c>
      <c r="L753" s="65" t="s">
        <v>4440</v>
      </c>
      <c r="M753" s="65" t="s">
        <v>4441</v>
      </c>
      <c r="N753" s="65" t="s">
        <v>4441</v>
      </c>
      <c r="O753" s="65" t="s">
        <v>165</v>
      </c>
      <c r="P753" s="65" t="s">
        <v>4442</v>
      </c>
    </row>
    <row r="754" hidden="1" customHeight="1" spans="1:16">
      <c r="A754" s="65" t="s">
        <v>4443</v>
      </c>
      <c r="B754" s="65">
        <v>30.85</v>
      </c>
      <c r="C754" s="65">
        <v>3</v>
      </c>
      <c r="D754" s="65" t="s">
        <v>3368</v>
      </c>
      <c r="E754" s="65" t="s">
        <v>3369</v>
      </c>
      <c r="F754" s="65" t="s">
        <v>12</v>
      </c>
      <c r="G754" s="65" t="s">
        <v>4444</v>
      </c>
      <c r="H754" s="65" t="s">
        <v>4445</v>
      </c>
      <c r="I754" s="66" t="s">
        <v>5166</v>
      </c>
      <c r="J754" s="65" t="s">
        <v>649</v>
      </c>
      <c r="K754" s="65" t="s">
        <v>161</v>
      </c>
      <c r="L754" s="65" t="s">
        <v>4446</v>
      </c>
      <c r="M754" s="65" t="s">
        <v>4447</v>
      </c>
      <c r="N754" s="65" t="s">
        <v>4447</v>
      </c>
      <c r="O754" s="65" t="s">
        <v>165</v>
      </c>
      <c r="P754" s="65" t="s">
        <v>4448</v>
      </c>
    </row>
    <row r="755" hidden="1" customHeight="1" spans="1:16">
      <c r="A755" s="65" t="s">
        <v>4456</v>
      </c>
      <c r="B755" s="65">
        <v>26.89</v>
      </c>
      <c r="C755" s="65">
        <v>2</v>
      </c>
      <c r="D755" s="65" t="s">
        <v>3262</v>
      </c>
      <c r="E755" s="65" t="s">
        <v>3263</v>
      </c>
      <c r="F755" s="65" t="s">
        <v>12</v>
      </c>
      <c r="G755" s="65" t="s">
        <v>4457</v>
      </c>
      <c r="H755" s="65" t="s">
        <v>4458</v>
      </c>
      <c r="I755" s="66" t="s">
        <v>5166</v>
      </c>
      <c r="J755" s="65" t="s">
        <v>649</v>
      </c>
      <c r="K755" s="65" t="s">
        <v>161</v>
      </c>
      <c r="L755" s="65" t="s">
        <v>4459</v>
      </c>
      <c r="M755" s="65" t="s">
        <v>4460</v>
      </c>
      <c r="N755" s="65" t="s">
        <v>4460</v>
      </c>
      <c r="O755" s="65" t="s">
        <v>165</v>
      </c>
      <c r="P755" s="65" t="s">
        <v>4461</v>
      </c>
    </row>
    <row r="756" hidden="1" customHeight="1" spans="1:16">
      <c r="A756" s="65" t="s">
        <v>4468</v>
      </c>
      <c r="B756" s="65">
        <v>16.79</v>
      </c>
      <c r="C756" s="65">
        <v>3</v>
      </c>
      <c r="D756" s="65" t="s">
        <v>4469</v>
      </c>
      <c r="E756" s="65" t="s">
        <v>3654</v>
      </c>
      <c r="F756" s="65" t="s">
        <v>12</v>
      </c>
      <c r="G756" s="65" t="s">
        <v>4470</v>
      </c>
      <c r="H756" s="65" t="s">
        <v>4471</v>
      </c>
      <c r="I756" s="66" t="s">
        <v>5166</v>
      </c>
      <c r="J756" s="65" t="s">
        <v>649</v>
      </c>
      <c r="K756" s="65" t="s">
        <v>161</v>
      </c>
      <c r="L756" s="65" t="s">
        <v>4472</v>
      </c>
      <c r="M756" s="65" t="s">
        <v>4473</v>
      </c>
      <c r="N756" s="65" t="s">
        <v>4473</v>
      </c>
      <c r="O756" s="65" t="s">
        <v>165</v>
      </c>
      <c r="P756" s="65" t="s">
        <v>4474</v>
      </c>
    </row>
    <row r="757" hidden="1" customHeight="1" spans="1:16">
      <c r="A757" s="65" t="s">
        <v>4475</v>
      </c>
      <c r="B757" s="65">
        <v>33.8</v>
      </c>
      <c r="C757" s="65">
        <v>3</v>
      </c>
      <c r="D757" s="65" t="s">
        <v>4476</v>
      </c>
      <c r="E757" s="65" t="s">
        <v>3397</v>
      </c>
      <c r="F757" s="65" t="s">
        <v>12</v>
      </c>
      <c r="G757" s="65" t="s">
        <v>4477</v>
      </c>
      <c r="H757" s="65" t="s">
        <v>4478</v>
      </c>
      <c r="I757" s="66" t="s">
        <v>5166</v>
      </c>
      <c r="J757" s="65" t="s">
        <v>649</v>
      </c>
      <c r="K757" s="65" t="s">
        <v>161</v>
      </c>
      <c r="L757" s="65" t="s">
        <v>4479</v>
      </c>
      <c r="M757" s="65" t="s">
        <v>4480</v>
      </c>
      <c r="N757" s="65" t="s">
        <v>4480</v>
      </c>
      <c r="O757" s="65" t="s">
        <v>165</v>
      </c>
      <c r="P757" s="65" t="s">
        <v>4481</v>
      </c>
    </row>
    <row r="758" hidden="1" customHeight="1" spans="1:16">
      <c r="A758" s="65" t="s">
        <v>4512</v>
      </c>
      <c r="B758" s="65">
        <v>67.4</v>
      </c>
      <c r="C758" s="65">
        <v>8</v>
      </c>
      <c r="D758" s="65" t="s">
        <v>4513</v>
      </c>
      <c r="E758" s="65" t="s">
        <v>4514</v>
      </c>
      <c r="F758" s="65" t="s">
        <v>12</v>
      </c>
      <c r="G758" s="65" t="s">
        <v>4515</v>
      </c>
      <c r="H758" s="65" t="s">
        <v>4516</v>
      </c>
      <c r="I758" s="66" t="s">
        <v>5166</v>
      </c>
      <c r="J758" s="65" t="s">
        <v>649</v>
      </c>
      <c r="K758" s="65" t="s">
        <v>161</v>
      </c>
      <c r="L758" s="65" t="s">
        <v>4517</v>
      </c>
      <c r="M758" s="65" t="s">
        <v>4518</v>
      </c>
      <c r="N758" s="65" t="s">
        <v>4518</v>
      </c>
      <c r="O758" s="65" t="s">
        <v>165</v>
      </c>
      <c r="P758" s="65" t="s">
        <v>4519</v>
      </c>
    </row>
    <row r="759" hidden="1" customHeight="1" spans="1:16">
      <c r="A759" s="65" t="s">
        <v>4535</v>
      </c>
      <c r="B759" s="65">
        <v>52.7</v>
      </c>
      <c r="C759" s="65">
        <v>5</v>
      </c>
      <c r="D759" s="65" t="s">
        <v>4536</v>
      </c>
      <c r="E759" s="65" t="s">
        <v>4537</v>
      </c>
      <c r="F759" s="65" t="s">
        <v>12</v>
      </c>
      <c r="G759" s="65" t="s">
        <v>4538</v>
      </c>
      <c r="H759" s="65" t="s">
        <v>4539</v>
      </c>
      <c r="I759" s="66" t="s">
        <v>5166</v>
      </c>
      <c r="J759" s="65" t="s">
        <v>649</v>
      </c>
      <c r="K759" s="65" t="s">
        <v>161</v>
      </c>
      <c r="L759" s="65" t="s">
        <v>4540</v>
      </c>
      <c r="M759" s="65" t="s">
        <v>4541</v>
      </c>
      <c r="N759" s="65" t="s">
        <v>4541</v>
      </c>
      <c r="O759" s="65" t="s">
        <v>165</v>
      </c>
      <c r="P759" s="65" t="s">
        <v>4542</v>
      </c>
    </row>
    <row r="760" hidden="1" customHeight="1" spans="1:16">
      <c r="A760" s="65" t="s">
        <v>4543</v>
      </c>
      <c r="B760" s="65">
        <v>16.79</v>
      </c>
      <c r="C760" s="65">
        <v>3</v>
      </c>
      <c r="D760" s="65" t="s">
        <v>4469</v>
      </c>
      <c r="E760" s="65" t="s">
        <v>3654</v>
      </c>
      <c r="F760" s="65" t="s">
        <v>12</v>
      </c>
      <c r="G760" s="65" t="s">
        <v>4544</v>
      </c>
      <c r="H760" s="65" t="s">
        <v>4545</v>
      </c>
      <c r="I760" s="66" t="s">
        <v>5166</v>
      </c>
      <c r="J760" s="65" t="s">
        <v>649</v>
      </c>
      <c r="K760" s="65" t="s">
        <v>161</v>
      </c>
      <c r="L760" s="65" t="s">
        <v>4546</v>
      </c>
      <c r="M760" s="65" t="s">
        <v>4547</v>
      </c>
      <c r="N760" s="65" t="s">
        <v>4547</v>
      </c>
      <c r="O760" s="65" t="s">
        <v>165</v>
      </c>
      <c r="P760" s="65" t="s">
        <v>4548</v>
      </c>
    </row>
    <row r="761" hidden="1" customHeight="1" spans="1:16">
      <c r="A761" s="65" t="s">
        <v>4555</v>
      </c>
      <c r="B761" s="65">
        <v>26.89</v>
      </c>
      <c r="C761" s="65">
        <v>2</v>
      </c>
      <c r="D761" s="65" t="s">
        <v>3262</v>
      </c>
      <c r="E761" s="65" t="s">
        <v>3263</v>
      </c>
      <c r="F761" s="65" t="s">
        <v>12</v>
      </c>
      <c r="G761" s="65" t="s">
        <v>4556</v>
      </c>
      <c r="H761" s="65" t="s">
        <v>4557</v>
      </c>
      <c r="I761" s="66" t="s">
        <v>5166</v>
      </c>
      <c r="J761" s="65" t="s">
        <v>649</v>
      </c>
      <c r="K761" s="65" t="s">
        <v>161</v>
      </c>
      <c r="L761" s="65" t="s">
        <v>4558</v>
      </c>
      <c r="M761" s="65" t="s">
        <v>4559</v>
      </c>
      <c r="N761" s="65" t="s">
        <v>4559</v>
      </c>
      <c r="O761" s="65" t="s">
        <v>165</v>
      </c>
      <c r="P761" s="65" t="s">
        <v>4560</v>
      </c>
    </row>
    <row r="762" hidden="1" customHeight="1" spans="1:16">
      <c r="A762" s="65" t="s">
        <v>4561</v>
      </c>
      <c r="B762" s="65">
        <v>50</v>
      </c>
      <c r="C762" s="65">
        <v>4</v>
      </c>
      <c r="D762" s="65" t="s">
        <v>4562</v>
      </c>
      <c r="E762" s="65" t="s">
        <v>4563</v>
      </c>
      <c r="F762" s="65" t="s">
        <v>12</v>
      </c>
      <c r="G762" s="65" t="s">
        <v>4564</v>
      </c>
      <c r="H762" s="65" t="s">
        <v>4565</v>
      </c>
      <c r="I762" s="66" t="s">
        <v>5166</v>
      </c>
      <c r="J762" s="65" t="s">
        <v>649</v>
      </c>
      <c r="K762" s="65" t="s">
        <v>161</v>
      </c>
      <c r="L762" s="65" t="s">
        <v>4566</v>
      </c>
      <c r="M762" s="65" t="s">
        <v>4567</v>
      </c>
      <c r="N762" s="65" t="s">
        <v>4567</v>
      </c>
      <c r="O762" s="65" t="s">
        <v>165</v>
      </c>
      <c r="P762" s="65" t="s">
        <v>4568</v>
      </c>
    </row>
    <row r="763" hidden="1" customHeight="1" spans="1:16">
      <c r="A763" s="65" t="s">
        <v>4569</v>
      </c>
      <c r="B763" s="65">
        <v>35.75</v>
      </c>
      <c r="C763" s="65">
        <v>4</v>
      </c>
      <c r="D763" s="65" t="s">
        <v>3376</v>
      </c>
      <c r="E763" s="65" t="s">
        <v>3377</v>
      </c>
      <c r="F763" s="65" t="s">
        <v>12</v>
      </c>
      <c r="G763" s="65" t="s">
        <v>4570</v>
      </c>
      <c r="H763" s="65" t="s">
        <v>4571</v>
      </c>
      <c r="I763" s="66" t="s">
        <v>5166</v>
      </c>
      <c r="J763" s="65" t="s">
        <v>649</v>
      </c>
      <c r="K763" s="65" t="s">
        <v>161</v>
      </c>
      <c r="L763" s="65" t="s">
        <v>4572</v>
      </c>
      <c r="M763" s="65" t="s">
        <v>4573</v>
      </c>
      <c r="N763" s="65" t="s">
        <v>4573</v>
      </c>
      <c r="O763" s="65" t="s">
        <v>165</v>
      </c>
      <c r="P763" s="65" t="s">
        <v>4574</v>
      </c>
    </row>
    <row r="764" hidden="1" customHeight="1" spans="1:16">
      <c r="A764" s="65" t="s">
        <v>4575</v>
      </c>
      <c r="B764" s="65">
        <v>17.69</v>
      </c>
      <c r="C764" s="65">
        <v>4</v>
      </c>
      <c r="D764" s="65" t="s">
        <v>3653</v>
      </c>
      <c r="E764" s="65" t="s">
        <v>3654</v>
      </c>
      <c r="F764" s="65" t="s">
        <v>12</v>
      </c>
      <c r="G764" s="65" t="s">
        <v>4576</v>
      </c>
      <c r="H764" s="65" t="s">
        <v>4577</v>
      </c>
      <c r="I764" s="66" t="s">
        <v>5166</v>
      </c>
      <c r="J764" s="65" t="s">
        <v>649</v>
      </c>
      <c r="K764" s="65" t="s">
        <v>161</v>
      </c>
      <c r="L764" s="65" t="s">
        <v>4578</v>
      </c>
      <c r="M764" s="65" t="s">
        <v>4579</v>
      </c>
      <c r="N764" s="65" t="s">
        <v>4579</v>
      </c>
      <c r="O764" s="65" t="s">
        <v>165</v>
      </c>
      <c r="P764" s="65" t="s">
        <v>4580</v>
      </c>
    </row>
    <row r="765" hidden="1" customHeight="1" spans="1:16">
      <c r="A765" s="65" t="s">
        <v>4581</v>
      </c>
      <c r="B765" s="65">
        <v>31.79</v>
      </c>
      <c r="C765" s="65">
        <v>3</v>
      </c>
      <c r="D765" s="65" t="s">
        <v>4582</v>
      </c>
      <c r="E765" s="65" t="s">
        <v>4583</v>
      </c>
      <c r="F765" s="65" t="s">
        <v>12</v>
      </c>
      <c r="G765" s="65" t="s">
        <v>4584</v>
      </c>
      <c r="H765" s="65" t="s">
        <v>4585</v>
      </c>
      <c r="I765" s="66" t="s">
        <v>5166</v>
      </c>
      <c r="J765" s="65" t="s">
        <v>649</v>
      </c>
      <c r="K765" s="65" t="s">
        <v>161</v>
      </c>
      <c r="L765" s="65" t="s">
        <v>4586</v>
      </c>
      <c r="M765" s="65" t="s">
        <v>4587</v>
      </c>
      <c r="N765" s="65" t="s">
        <v>4587</v>
      </c>
      <c r="O765" s="65" t="s">
        <v>165</v>
      </c>
      <c r="P765" s="65" t="s">
        <v>4588</v>
      </c>
    </row>
    <row r="766" hidden="1" customHeight="1" spans="1:16">
      <c r="A766" s="65" t="s">
        <v>4605</v>
      </c>
      <c r="B766" s="65">
        <v>26.89</v>
      </c>
      <c r="C766" s="65">
        <v>2</v>
      </c>
      <c r="D766" s="65" t="s">
        <v>3479</v>
      </c>
      <c r="E766" s="65" t="s">
        <v>3480</v>
      </c>
      <c r="F766" s="65" t="s">
        <v>12</v>
      </c>
      <c r="G766" s="65" t="s">
        <v>4606</v>
      </c>
      <c r="H766" s="65" t="s">
        <v>4607</v>
      </c>
      <c r="I766" s="66" t="s">
        <v>5166</v>
      </c>
      <c r="J766" s="65" t="s">
        <v>649</v>
      </c>
      <c r="K766" s="65" t="s">
        <v>161</v>
      </c>
      <c r="L766" s="65" t="s">
        <v>4608</v>
      </c>
      <c r="M766" s="65" t="s">
        <v>4609</v>
      </c>
      <c r="N766" s="65" t="s">
        <v>4609</v>
      </c>
      <c r="O766" s="65" t="s">
        <v>165</v>
      </c>
      <c r="P766" s="65" t="s">
        <v>4610</v>
      </c>
    </row>
    <row r="767" hidden="1" customHeight="1" spans="1:16">
      <c r="A767" s="65" t="s">
        <v>4611</v>
      </c>
      <c r="B767" s="65">
        <v>36.35</v>
      </c>
      <c r="C767" s="65">
        <v>8</v>
      </c>
      <c r="D767" s="65" t="s">
        <v>4612</v>
      </c>
      <c r="E767" s="65" t="s">
        <v>4613</v>
      </c>
      <c r="F767" s="65" t="s">
        <v>12</v>
      </c>
      <c r="G767" s="65" t="s">
        <v>4614</v>
      </c>
      <c r="H767" s="65" t="s">
        <v>4615</v>
      </c>
      <c r="I767" s="66" t="s">
        <v>5166</v>
      </c>
      <c r="J767" s="65" t="s">
        <v>649</v>
      </c>
      <c r="K767" s="65" t="s">
        <v>161</v>
      </c>
      <c r="L767" s="65" t="s">
        <v>4616</v>
      </c>
      <c r="M767" s="65" t="s">
        <v>4617</v>
      </c>
      <c r="N767" s="65" t="s">
        <v>4617</v>
      </c>
      <c r="O767" s="65" t="s">
        <v>165</v>
      </c>
      <c r="P767" s="65" t="s">
        <v>4618</v>
      </c>
    </row>
    <row r="768" hidden="1" customHeight="1" spans="1:16">
      <c r="A768" s="65" t="s">
        <v>4636</v>
      </c>
      <c r="B768" s="65">
        <v>26.89</v>
      </c>
      <c r="C768" s="65">
        <v>2</v>
      </c>
      <c r="D768" s="65" t="s">
        <v>3262</v>
      </c>
      <c r="E768" s="65" t="s">
        <v>3263</v>
      </c>
      <c r="F768" s="65" t="s">
        <v>12</v>
      </c>
      <c r="G768" s="65" t="s">
        <v>4637</v>
      </c>
      <c r="H768" s="65" t="s">
        <v>4638</v>
      </c>
      <c r="I768" s="66" t="s">
        <v>5166</v>
      </c>
      <c r="J768" s="65" t="s">
        <v>649</v>
      </c>
      <c r="K768" s="65" t="s">
        <v>161</v>
      </c>
      <c r="L768" s="65" t="s">
        <v>4639</v>
      </c>
      <c r="M768" s="65" t="s">
        <v>4640</v>
      </c>
      <c r="N768" s="65" t="s">
        <v>4640</v>
      </c>
      <c r="O768" s="65" t="s">
        <v>165</v>
      </c>
      <c r="P768" s="65" t="s">
        <v>4641</v>
      </c>
    </row>
    <row r="769" hidden="1" customHeight="1" spans="1:16">
      <c r="A769" s="65" t="s">
        <v>4673</v>
      </c>
      <c r="B769" s="65">
        <v>47.8</v>
      </c>
      <c r="C769" s="65">
        <v>4</v>
      </c>
      <c r="D769" s="65" t="s">
        <v>4674</v>
      </c>
      <c r="E769" s="65" t="s">
        <v>4675</v>
      </c>
      <c r="F769" s="65" t="s">
        <v>12</v>
      </c>
      <c r="G769" s="65" t="s">
        <v>4676</v>
      </c>
      <c r="H769" s="65" t="s">
        <v>4677</v>
      </c>
      <c r="I769" s="66" t="s">
        <v>5166</v>
      </c>
      <c r="J769" s="65" t="s">
        <v>649</v>
      </c>
      <c r="K769" s="65" t="s">
        <v>161</v>
      </c>
      <c r="L769" s="65" t="s">
        <v>4678</v>
      </c>
      <c r="M769" s="65" t="s">
        <v>4679</v>
      </c>
      <c r="N769" s="65" t="s">
        <v>4679</v>
      </c>
      <c r="O769" s="65" t="s">
        <v>165</v>
      </c>
      <c r="P769" s="65" t="s">
        <v>4680</v>
      </c>
    </row>
    <row r="770" hidden="1" customHeight="1" spans="1:16">
      <c r="A770" s="65" t="s">
        <v>4695</v>
      </c>
      <c r="B770" s="65">
        <v>26.89</v>
      </c>
      <c r="C770" s="65">
        <v>2</v>
      </c>
      <c r="D770" s="65" t="s">
        <v>3683</v>
      </c>
      <c r="E770" s="65" t="s">
        <v>3684</v>
      </c>
      <c r="F770" s="65" t="s">
        <v>12</v>
      </c>
      <c r="G770" s="65" t="s">
        <v>4696</v>
      </c>
      <c r="H770" s="65" t="s">
        <v>4697</v>
      </c>
      <c r="I770" s="66" t="s">
        <v>5166</v>
      </c>
      <c r="J770" s="65" t="s">
        <v>649</v>
      </c>
      <c r="K770" s="65" t="s">
        <v>161</v>
      </c>
      <c r="L770" s="65" t="s">
        <v>4698</v>
      </c>
      <c r="M770" s="65" t="s">
        <v>4699</v>
      </c>
      <c r="N770" s="65" t="s">
        <v>4699</v>
      </c>
      <c r="O770" s="65" t="s">
        <v>165</v>
      </c>
      <c r="P770" s="65" t="s">
        <v>4700</v>
      </c>
    </row>
    <row r="771" hidden="1" customHeight="1" spans="1:16">
      <c r="A771" s="65" t="s">
        <v>4709</v>
      </c>
      <c r="B771" s="65">
        <v>54.75</v>
      </c>
      <c r="C771" s="65">
        <v>5</v>
      </c>
      <c r="D771" s="65" t="s">
        <v>4710</v>
      </c>
      <c r="E771" s="65" t="s">
        <v>4711</v>
      </c>
      <c r="F771" s="65" t="s">
        <v>12</v>
      </c>
      <c r="G771" s="65" t="s">
        <v>4712</v>
      </c>
      <c r="H771" s="65" t="s">
        <v>4713</v>
      </c>
      <c r="I771" s="66" t="s">
        <v>5166</v>
      </c>
      <c r="J771" s="65" t="s">
        <v>649</v>
      </c>
      <c r="K771" s="65" t="s">
        <v>161</v>
      </c>
      <c r="L771" s="65" t="s">
        <v>4714</v>
      </c>
      <c r="M771" s="65" t="s">
        <v>4715</v>
      </c>
      <c r="N771" s="65" t="s">
        <v>4715</v>
      </c>
      <c r="O771" s="65" t="s">
        <v>165</v>
      </c>
      <c r="P771" s="65" t="s">
        <v>4716</v>
      </c>
    </row>
    <row r="772" hidden="1" customHeight="1" spans="1:16">
      <c r="A772" s="65" t="s">
        <v>4769</v>
      </c>
      <c r="B772" s="65">
        <v>47.8</v>
      </c>
      <c r="C772" s="65">
        <v>4</v>
      </c>
      <c r="D772" s="65" t="s">
        <v>4770</v>
      </c>
      <c r="E772" s="65" t="s">
        <v>4771</v>
      </c>
      <c r="F772" s="65" t="s">
        <v>12</v>
      </c>
      <c r="G772" s="65" t="s">
        <v>4772</v>
      </c>
      <c r="H772" s="65" t="s">
        <v>4773</v>
      </c>
      <c r="I772" s="66" t="s">
        <v>5166</v>
      </c>
      <c r="J772" s="65" t="s">
        <v>649</v>
      </c>
      <c r="K772" s="65" t="s">
        <v>161</v>
      </c>
      <c r="L772" s="65" t="s">
        <v>4774</v>
      </c>
      <c r="M772" s="65" t="s">
        <v>4775</v>
      </c>
      <c r="N772" s="65" t="s">
        <v>4775</v>
      </c>
      <c r="O772" s="65" t="s">
        <v>165</v>
      </c>
      <c r="P772" s="65" t="s">
        <v>4776</v>
      </c>
    </row>
    <row r="773" hidden="1" customHeight="1" spans="1:16">
      <c r="A773" s="65" t="s">
        <v>4808</v>
      </c>
      <c r="B773" s="65">
        <v>59.65</v>
      </c>
      <c r="C773" s="65">
        <v>6</v>
      </c>
      <c r="D773" s="65" t="s">
        <v>4809</v>
      </c>
      <c r="E773" s="65" t="s">
        <v>4810</v>
      </c>
      <c r="F773" s="65" t="s">
        <v>12</v>
      </c>
      <c r="G773" s="65" t="s">
        <v>4811</v>
      </c>
      <c r="H773" s="65" t="s">
        <v>4812</v>
      </c>
      <c r="I773" s="66" t="s">
        <v>5166</v>
      </c>
      <c r="J773" s="65" t="s">
        <v>649</v>
      </c>
      <c r="K773" s="65" t="s">
        <v>161</v>
      </c>
      <c r="L773" s="65" t="s">
        <v>4813</v>
      </c>
      <c r="M773" s="65" t="s">
        <v>4814</v>
      </c>
      <c r="N773" s="65" t="s">
        <v>4814</v>
      </c>
      <c r="O773" s="65" t="s">
        <v>165</v>
      </c>
      <c r="P773" s="65" t="s">
        <v>4815</v>
      </c>
    </row>
    <row r="774" hidden="1" customHeight="1" spans="1:16">
      <c r="A774" s="65" t="s">
        <v>4816</v>
      </c>
      <c r="B774" s="65">
        <v>30.85</v>
      </c>
      <c r="C774" s="65">
        <v>3</v>
      </c>
      <c r="D774" s="65" t="s">
        <v>4817</v>
      </c>
      <c r="E774" s="65" t="s">
        <v>4818</v>
      </c>
      <c r="F774" s="65" t="s">
        <v>12</v>
      </c>
      <c r="G774" s="65" t="s">
        <v>4819</v>
      </c>
      <c r="H774" s="65" t="s">
        <v>4820</v>
      </c>
      <c r="I774" s="66" t="s">
        <v>5166</v>
      </c>
      <c r="J774" s="65" t="s">
        <v>649</v>
      </c>
      <c r="K774" s="65" t="s">
        <v>161</v>
      </c>
      <c r="L774" s="65" t="s">
        <v>4821</v>
      </c>
      <c r="M774" s="65" t="s">
        <v>4822</v>
      </c>
      <c r="N774" s="65" t="s">
        <v>4822</v>
      </c>
      <c r="O774" s="65" t="s">
        <v>165</v>
      </c>
      <c r="P774" s="65" t="s">
        <v>4823</v>
      </c>
    </row>
    <row r="775" hidden="1" customHeight="1" spans="1:16">
      <c r="A775" s="65" t="s">
        <v>4852</v>
      </c>
      <c r="B775" s="65">
        <v>32.7</v>
      </c>
      <c r="C775" s="65">
        <v>4</v>
      </c>
      <c r="D775" s="65" t="s">
        <v>4853</v>
      </c>
      <c r="E775" s="65" t="s">
        <v>4854</v>
      </c>
      <c r="F775" s="65" t="s">
        <v>12</v>
      </c>
      <c r="G775" s="65" t="s">
        <v>4855</v>
      </c>
      <c r="H775" s="65" t="s">
        <v>4856</v>
      </c>
      <c r="I775" s="66" t="s">
        <v>5166</v>
      </c>
      <c r="J775" s="65" t="s">
        <v>649</v>
      </c>
      <c r="K775" s="65" t="s">
        <v>161</v>
      </c>
      <c r="L775" s="65" t="s">
        <v>4857</v>
      </c>
      <c r="M775" s="65" t="s">
        <v>4858</v>
      </c>
      <c r="N775" s="65" t="s">
        <v>4858</v>
      </c>
      <c r="O775" s="65" t="s">
        <v>165</v>
      </c>
      <c r="P775" s="65" t="s">
        <v>4859</v>
      </c>
    </row>
    <row r="776" hidden="1" customHeight="1" spans="1:16">
      <c r="A776" s="65" t="s">
        <v>4868</v>
      </c>
      <c r="B776" s="65">
        <v>54.75</v>
      </c>
      <c r="C776" s="65">
        <v>5</v>
      </c>
      <c r="D776" s="65" t="s">
        <v>4869</v>
      </c>
      <c r="E776" s="65" t="s">
        <v>4870</v>
      </c>
      <c r="F776" s="65" t="s">
        <v>12</v>
      </c>
      <c r="G776" s="65" t="s">
        <v>4871</v>
      </c>
      <c r="H776" s="65" t="s">
        <v>4872</v>
      </c>
      <c r="I776" s="66" t="s">
        <v>5166</v>
      </c>
      <c r="J776" s="65" t="s">
        <v>649</v>
      </c>
      <c r="K776" s="65" t="s">
        <v>161</v>
      </c>
      <c r="L776" s="65" t="s">
        <v>4873</v>
      </c>
      <c r="M776" s="65" t="s">
        <v>4874</v>
      </c>
      <c r="N776" s="65" t="s">
        <v>4874</v>
      </c>
      <c r="O776" s="65" t="s">
        <v>165</v>
      </c>
      <c r="P776" s="65" t="s">
        <v>4875</v>
      </c>
    </row>
    <row r="777" hidden="1" customHeight="1" spans="1:16">
      <c r="A777" s="65" t="s">
        <v>4882</v>
      </c>
      <c r="B777" s="65">
        <v>26.89</v>
      </c>
      <c r="C777" s="65">
        <v>2</v>
      </c>
      <c r="D777" s="65" t="s">
        <v>3262</v>
      </c>
      <c r="E777" s="65" t="s">
        <v>3263</v>
      </c>
      <c r="F777" s="65" t="s">
        <v>12</v>
      </c>
      <c r="G777" s="65" t="s">
        <v>4883</v>
      </c>
      <c r="H777" s="65" t="s">
        <v>4884</v>
      </c>
      <c r="I777" s="66" t="s">
        <v>5166</v>
      </c>
      <c r="J777" s="65" t="s">
        <v>649</v>
      </c>
      <c r="K777" s="65" t="s">
        <v>161</v>
      </c>
      <c r="L777" s="65" t="s">
        <v>4885</v>
      </c>
      <c r="M777" s="65" t="s">
        <v>4886</v>
      </c>
      <c r="N777" s="65" t="s">
        <v>4886</v>
      </c>
      <c r="O777" s="65" t="s">
        <v>165</v>
      </c>
      <c r="P777" s="65" t="s">
        <v>4887</v>
      </c>
    </row>
    <row r="778" hidden="1" customHeight="1" spans="1:16">
      <c r="A778" s="65" t="s">
        <v>4908</v>
      </c>
      <c r="B778" s="65">
        <v>47.8</v>
      </c>
      <c r="C778" s="65">
        <v>4</v>
      </c>
      <c r="D778" s="65" t="s">
        <v>3343</v>
      </c>
      <c r="E778" s="65" t="s">
        <v>3344</v>
      </c>
      <c r="F778" s="65" t="s">
        <v>12</v>
      </c>
      <c r="G778" s="65" t="s">
        <v>4909</v>
      </c>
      <c r="H778" s="65" t="s">
        <v>4910</v>
      </c>
      <c r="I778" s="66" t="s">
        <v>5166</v>
      </c>
      <c r="J778" s="65" t="s">
        <v>649</v>
      </c>
      <c r="K778" s="65" t="s">
        <v>161</v>
      </c>
      <c r="L778" s="65" t="s">
        <v>4911</v>
      </c>
      <c r="M778" s="65" t="s">
        <v>4912</v>
      </c>
      <c r="N778" s="65" t="s">
        <v>4912</v>
      </c>
      <c r="O778" s="65" t="s">
        <v>165</v>
      </c>
      <c r="P778" s="65" t="s">
        <v>4913</v>
      </c>
    </row>
    <row r="779" hidden="1" customHeight="1" spans="1:16">
      <c r="A779" s="65" t="s">
        <v>4928</v>
      </c>
      <c r="B779" s="65">
        <v>26.89</v>
      </c>
      <c r="C779" s="65">
        <v>2</v>
      </c>
      <c r="D779" s="65" t="s">
        <v>3683</v>
      </c>
      <c r="E779" s="65" t="s">
        <v>3684</v>
      </c>
      <c r="F779" s="65" t="s">
        <v>12</v>
      </c>
      <c r="G779" s="65" t="s">
        <v>4929</v>
      </c>
      <c r="H779" s="65" t="s">
        <v>4930</v>
      </c>
      <c r="I779" s="66" t="s">
        <v>5166</v>
      </c>
      <c r="J779" s="65" t="s">
        <v>649</v>
      </c>
      <c r="K779" s="65" t="s">
        <v>161</v>
      </c>
      <c r="L779" s="65" t="s">
        <v>4931</v>
      </c>
      <c r="M779" s="65" t="s">
        <v>4932</v>
      </c>
      <c r="N779" s="65" t="s">
        <v>4932</v>
      </c>
      <c r="O779" s="65" t="s">
        <v>165</v>
      </c>
      <c r="P779" s="65" t="s">
        <v>4933</v>
      </c>
    </row>
    <row r="780" hidden="1" customHeight="1" spans="1:16">
      <c r="A780" s="65" t="s">
        <v>4947</v>
      </c>
      <c r="B780" s="65">
        <v>30.85</v>
      </c>
      <c r="C780" s="65">
        <v>3</v>
      </c>
      <c r="D780" s="65" t="s">
        <v>3368</v>
      </c>
      <c r="E780" s="65" t="s">
        <v>3369</v>
      </c>
      <c r="F780" s="65" t="s">
        <v>12</v>
      </c>
      <c r="G780" s="65" t="s">
        <v>4948</v>
      </c>
      <c r="H780" s="65" t="s">
        <v>4949</v>
      </c>
      <c r="I780" s="66" t="s">
        <v>5166</v>
      </c>
      <c r="J780" s="65" t="s">
        <v>649</v>
      </c>
      <c r="K780" s="65" t="s">
        <v>4950</v>
      </c>
      <c r="L780" s="65" t="s">
        <v>4951</v>
      </c>
      <c r="M780" s="65" t="s">
        <v>4952</v>
      </c>
      <c r="N780" s="65" t="s">
        <v>4952</v>
      </c>
      <c r="O780" s="65" t="s">
        <v>165</v>
      </c>
      <c r="P780" s="65" t="s">
        <v>4953</v>
      </c>
    </row>
    <row r="781" hidden="1" customHeight="1" spans="1:16">
      <c r="A781" s="65" t="s">
        <v>4967</v>
      </c>
      <c r="B781" s="65">
        <v>47.8</v>
      </c>
      <c r="C781" s="65">
        <v>4</v>
      </c>
      <c r="D781" s="65" t="s">
        <v>3295</v>
      </c>
      <c r="E781" s="65" t="s">
        <v>3296</v>
      </c>
      <c r="F781" s="65" t="s">
        <v>12</v>
      </c>
      <c r="G781" s="65" t="s">
        <v>4968</v>
      </c>
      <c r="H781" s="65" t="s">
        <v>4969</v>
      </c>
      <c r="I781" s="66" t="s">
        <v>5166</v>
      </c>
      <c r="J781" s="65" t="s">
        <v>649</v>
      </c>
      <c r="K781" s="65" t="s">
        <v>161</v>
      </c>
      <c r="L781" s="65" t="s">
        <v>4970</v>
      </c>
      <c r="M781" s="65" t="s">
        <v>4971</v>
      </c>
      <c r="N781" s="65" t="s">
        <v>4971</v>
      </c>
      <c r="O781" s="65" t="s">
        <v>165</v>
      </c>
      <c r="P781" s="65" t="s">
        <v>4972</v>
      </c>
    </row>
    <row r="782" hidden="1" customHeight="1" spans="1:16">
      <c r="A782" s="65" t="s">
        <v>4987</v>
      </c>
      <c r="B782" s="65">
        <v>26.89</v>
      </c>
      <c r="C782" s="65">
        <v>2</v>
      </c>
      <c r="D782" s="65" t="s">
        <v>3262</v>
      </c>
      <c r="E782" s="65" t="s">
        <v>3263</v>
      </c>
      <c r="F782" s="65" t="s">
        <v>12</v>
      </c>
      <c r="G782" s="65" t="s">
        <v>4988</v>
      </c>
      <c r="H782" s="65" t="s">
        <v>4989</v>
      </c>
      <c r="I782" s="66" t="s">
        <v>5166</v>
      </c>
      <c r="J782" s="65" t="s">
        <v>649</v>
      </c>
      <c r="K782" s="65" t="s">
        <v>161</v>
      </c>
      <c r="L782" s="65" t="s">
        <v>4990</v>
      </c>
      <c r="M782" s="65" t="s">
        <v>4991</v>
      </c>
      <c r="N782" s="65" t="s">
        <v>4991</v>
      </c>
      <c r="O782" s="65" t="s">
        <v>165</v>
      </c>
      <c r="P782" s="65" t="s">
        <v>4992</v>
      </c>
    </row>
    <row r="783" hidden="1" customHeight="1" spans="1:16">
      <c r="A783" s="65" t="s">
        <v>5004</v>
      </c>
      <c r="B783" s="65">
        <v>52.7</v>
      </c>
      <c r="C783" s="65">
        <v>5</v>
      </c>
      <c r="D783" s="65" t="s">
        <v>5005</v>
      </c>
      <c r="E783" s="65" t="s">
        <v>5006</v>
      </c>
      <c r="F783" s="65" t="s">
        <v>12</v>
      </c>
      <c r="G783" s="65" t="s">
        <v>5007</v>
      </c>
      <c r="H783" s="65" t="s">
        <v>5008</v>
      </c>
      <c r="I783" s="66" t="s">
        <v>5166</v>
      </c>
      <c r="J783" s="65" t="s">
        <v>649</v>
      </c>
      <c r="K783" s="65" t="s">
        <v>161</v>
      </c>
      <c r="L783" s="65" t="s">
        <v>5009</v>
      </c>
      <c r="M783" s="65" t="s">
        <v>5010</v>
      </c>
      <c r="N783" s="65" t="s">
        <v>5010</v>
      </c>
      <c r="O783" s="65" t="s">
        <v>165</v>
      </c>
      <c r="P783" s="65" t="s">
        <v>5011</v>
      </c>
    </row>
    <row r="784" hidden="1" customHeight="1" spans="1:16">
      <c r="A784" s="66" t="s">
        <v>5033</v>
      </c>
      <c r="B784" s="66">
        <v>62.5</v>
      </c>
      <c r="C784" s="66">
        <v>6</v>
      </c>
      <c r="D784" s="66" t="s">
        <v>5034</v>
      </c>
      <c r="E784" s="66" t="s">
        <v>5035</v>
      </c>
      <c r="F784" s="66" t="s">
        <v>12</v>
      </c>
      <c r="G784" s="66" t="s">
        <v>5036</v>
      </c>
      <c r="H784" s="66" t="s">
        <v>5037</v>
      </c>
      <c r="I784" s="66" t="s">
        <v>5166</v>
      </c>
      <c r="J784" s="66" t="s">
        <v>649</v>
      </c>
      <c r="K784" s="66" t="s">
        <v>5038</v>
      </c>
      <c r="L784" s="66" t="s">
        <v>5039</v>
      </c>
      <c r="M784" s="66" t="s">
        <v>5040</v>
      </c>
      <c r="N784" s="66" t="s">
        <v>5040</v>
      </c>
      <c r="O784" s="66" t="s">
        <v>165</v>
      </c>
      <c r="P784" s="66"/>
    </row>
    <row r="785" s="171" customFormat="1" customHeight="1" spans="1:16">
      <c r="A785" s="172" t="s">
        <v>2007</v>
      </c>
      <c r="B785" s="172">
        <v>23.9</v>
      </c>
      <c r="C785" s="172">
        <v>1</v>
      </c>
      <c r="D785" s="172" t="s">
        <v>5167</v>
      </c>
      <c r="E785" s="172" t="s">
        <v>5168</v>
      </c>
      <c r="F785" s="172" t="s">
        <v>12</v>
      </c>
      <c r="G785" s="172" t="s">
        <v>2008</v>
      </c>
      <c r="H785" s="172" t="s">
        <v>5169</v>
      </c>
      <c r="I785" s="172" t="s">
        <v>161</v>
      </c>
      <c r="J785" s="172" t="s">
        <v>162</v>
      </c>
      <c r="K785" s="172" t="s">
        <v>161</v>
      </c>
      <c r="L785" s="172" t="s">
        <v>2010</v>
      </c>
      <c r="M785" s="172" t="s">
        <v>5170</v>
      </c>
      <c r="N785" s="172" t="s">
        <v>5170</v>
      </c>
      <c r="O785" s="172" t="s">
        <v>165</v>
      </c>
      <c r="P785" s="172" t="s">
        <v>161</v>
      </c>
    </row>
  </sheetData>
  <autoFilter xmlns:etc="http://www.wps.cn/officeDocument/2017/etCustomData" ref="A1:P785" etc:filterBottomFollowUsedRange="0">
    <filterColumn colId="7">
      <filters blank="1">
        <filter val="6A07280567650"/>
        <filter val="YT2621000701818432"/>
        <filter val="YT2621000702017836"/>
        <filter val="6A07075843068"/>
        <filter val="6A07075843051"/>
        <filter val="6A07150062971"/>
        <filter val="6A07262086681"/>
        <filter val="6A07085725866"/>
        <filter val="6A07061666886"/>
        <filter val="6A07280567667"/>
        <filter val="6A07075258084"/>
        <filter val="6A07150062964"/>
        <filter val="6A07263540656"/>
        <filter val="6A07079115888"/>
        <filter val="6A07096464891"/>
        <filter val="6A07054178051"/>
        <filter val="YT2619000701250812"/>
        <filter val="6A07103001903"/>
        <filter val="6A07263540663"/>
        <filter val="6A07275959675"/>
        <filter val="6A07075843075"/>
        <filter val="6A07081759087"/>
        <filter val="YT2620900701348028"/>
        <filter val="6A07082241888"/>
        <filter val="6A07098860882"/>
        <filter val="YT2619300701385802"/>
        <filter val="6A07092948883"/>
        <filter val="LD798400273BE"/>
        <filter val="LD798464407BE"/>
        <filter val="LD798464177BE"/>
        <filter val="6A07292300672"/>
        <filter val="YT2620500704618003"/>
        <filter val="LD797364892BE"/>
        <filter val="6A07090992475"/>
        <filter val="6A07100603926"/>
        <filter val="6A07092948876"/>
        <filter val="6A07096464877"/>
        <filter val="7321315917575718"/>
        <filter val="6A07096464860"/>
        <filter val="6A07293703663"/>
        <filter val="6A07263540694"/>
        <filter val="6A07101395134"/>
        <filter val="2019317918528437"/>
        <filter val="6A07257635290"/>
        <filter val="6A07092221450"/>
        <filter val="6A07248165201"/>
        <filter val="6A07101395141"/>
        <filter val="6A07092948852"/>
        <filter val="2019317111898443"/>
        <filter val="LD797165242BE"/>
        <filter val="6A07293703656"/>
        <filter val="6A07092948845"/>
        <filter val="6A07293703649"/>
        <filter val="6A07098066031"/>
        <filter val="6A07090979032"/>
        <filter val="6A07060868403"/>
        <filter val="6A07091074033"/>
        <filter val="LD798793513BE"/>
        <filter val="6A07092221436"/>
        <filter val="6A07092948821"/>
        <filter val="6A07079045802"/>
        <filter val="2019317133674452"/>
        <filter val="2019317957503433"/>
        <filter val="6A07098066024"/>
        <filter val="6A07093753424"/>
        <filter val="6A07097264025"/>
        <filter val="6A07090979025"/>
        <filter val="LD797667292BE"/>
        <filter val="6A07293703625"/>
        <filter val="2019317957633437"/>
        <filter val="2019317133675459"/>
        <filter val="LD797522602BE"/>
        <filter val="LD798566057BE"/>
        <filter val="6A07093753417"/>
        <filter val="LW309606484CH"/>
        <filter val="LW309606498CH"/>
        <filter val="6A07293703618"/>
        <filter val="6A07084613409"/>
        <filter val="6A07098066000"/>
        <filter val="TYZRB0014140307YQ"/>
        <filter val="TYZRB0014140287YQ"/>
        <filter val="TYZRB0014140253YQ"/>
        <filter val="TYZRB0014148913YQ"/>
        <filter val="TYZRB0014133187YQ"/>
        <filter val="TYZRB0014138473YQ"/>
        <filter val="TYZRB0014135023YQ"/>
        <filter val="TYZRB0014136697YQ"/>
        <filter val="TYZRB0014164753YQ"/>
        <filter val="YT2619200702752481"/>
        <filter val="TYZRB0014161287YQ"/>
        <filter val="TYZRB0014159473YQ"/>
        <filter val="TYZRB0014173393YQ"/>
        <filter val="6A07054178044"/>
        <filter val="YT2620900701348085"/>
        <filter val="6A07054178037"/>
        <filter val="6A07079045819"/>
        <filter val="6A07084613430"/>
        <filter val="2019317995660433"/>
        <filter val="YT2621000702018057"/>
        <filter val="6A07280751240"/>
        <filter val="6A07084613447"/>
        <filter val="6A07261952628"/>
        <filter val="LX087539811NL"/>
        <filter val="YT2620400701249730"/>
        <filter val="6A07251203983"/>
        <filter val="6A07075022364"/>
        <filter val="6A07254077185"/>
        <filter val="6A07060079779"/>
        <filter val="6A07060868380"/>
        <filter val="YT2620500701142742"/>
        <filter val="6A07251179172"/>
        <filter val="YT2621000702017745"/>
        <filter val="YT2621200702246746"/>
        <filter val="6A07060079786"/>
        <filter val="6A07078458382"/>
        <filter val="6A07288902972"/>
        <filter val="6A07060079755"/>
        <filter val="6A07251179165"/>
        <filter val="6A07261153155"/>
        <filter val="6A07275774988"/>
        <filter val="6A07247982939"/>
        <filter val="6A07079045789"/>
        <filter val="6A07060868359"/>
        <filter val="6A07084613379"/>
        <filter val="LX086287731NL"/>
        <filter val="6A07079045772"/>
        <filter val="6A07261153162"/>
        <filter val="6A07254077154"/>
        <filter val="6A07065766766"/>
        <filter val="6A07093016796"/>
        <filter val="6A07084613386"/>
        <filter val="6A07102204206"/>
        <filter val="6A07251179158"/>
        <filter val="LD798400622BE"/>
        <filter val="LD798400432BE"/>
        <filter val="LD798400256BE"/>
        <filter val="6A07090991386"/>
        <filter val="6A07293911570"/>
        <filter val="6A07102204220"/>
        <filter val="6A07093821772"/>
        <filter val="6A07097650774"/>
        <filter val="6A07275774995"/>
        <filter val="YT2620400701249706"/>
        <filter val="6A07060079793"/>
        <filter val="6A07093753363"/>
        <filter val="6A07093016765"/>
        <filter val="6A07093821765"/>
        <filter val="6A07091773769"/>
        <filter val="6A07257272990"/>
        <filter val="6A07254077192"/>
        <filter val="6A07093753356"/>
        <filter val="6A07093016741"/>
        <filter val="2019317219737453"/>
        <filter val="2019317219736456"/>
        <filter val="LW309754721CH"/>
        <filter val="6A07093753349"/>
        <filter val="EM200013826907CA"/>
        <filter val="6A07064184301"/>
        <filter val="6A07093016734"/>
        <filter val="2019317228979455"/>
        <filter val="LD797766043BE"/>
        <filter val="6A07267795106"/>
        <filter val="6A07075022302"/>
        <filter val="6A07078219303"/>
        <filter val="6A07093016727"/>
        <filter val="YT2619400701034390"/>
        <filter val="TYZRB0014070238YQ"/>
        <filter val="LD797552927BE"/>
        <filter val="LD797580707BE"/>
        <filter val="LD797580667BE"/>
        <filter val="LD797580287BE"/>
        <filter val="6A07091354715"/>
        <filter val="LW309606475CH"/>
        <filter val="LW309606541CH"/>
        <filter val="YT2619100701620798"/>
        <filter val="TYZRB0014143644YQ"/>
        <filter val="TYZRB0014140288YQ"/>
        <filter val="TYZRB0014133220YQ"/>
        <filter val="TYZRB0014131544YQ"/>
        <filter val="TYZRB0014131520YQ"/>
        <filter val="TYZRB0014138544YQ"/>
        <filter val="TYZRB0014136698YQ"/>
        <filter val="TYZRB0014164740YQ"/>
        <filter val="TYZRB0014161188YQ"/>
        <filter val="TYZRB0014161234YQ"/>
        <filter val="TYZRB0014169990YQ"/>
        <filter val="TYZRB0014168290YQ"/>
        <filter val="TYZRB0014166534YQ"/>
        <filter val="TYZRB0014154208YQ"/>
        <filter val="TYZRB0014154240YQ"/>
        <filter val="TYZRB0014152410YQ"/>
        <filter val="TYZRB0014157690YQ"/>
        <filter val="6A07261153131"/>
        <filter val="TYZRB0014173560YQ"/>
        <filter val="TYZRB0014173404YQ"/>
        <filter val="TYZRB0014171780YQ"/>
        <filter val="TYZRB0014171708YQ"/>
        <filter val="YT2621000701818374"/>
        <filter val="YT2618900706873784"/>
        <filter val="6A07075022326"/>
        <filter val="6A07078219327"/>
        <filter val="6A07084613317"/>
        <filter val="6A07266205538"/>
        <filter val="6A07093374308"/>
        <filter val="6A07091354708"/>
        <filter val="6A07078219310"/>
        <filter val="YT2621000701817780"/>
        <filter val="YT2619300701385778"/>
        <filter val="6A07261153148"/>
        <filter val="YT2620900701545789"/>
        <filter val="6A07075022340"/>
        <filter val="6A07064184318"/>
        <filter val="6A07064978719"/>
        <filter val="YT2620400701249763"/>
        <filter val="6A07248235584"/>
        <filter val="6A07064978726"/>
        <filter val="6A07084613348"/>
        <filter val="6A07053384682"/>
        <filter val="YT2621000701818234"/>
        <filter val="6A07075022265"/>
        <filter val="6A07078219266"/>
        <filter val="YT2620400701048637"/>
        <filter val="YT2619200702752648"/>
        <filter val="6A07261949079"/>
        <filter val="6A07262743881"/>
        <filter val="6A07054445672"/>
        <filter val="6A07261949086"/>
        <filter val="6A07075022258"/>
        <filter val="6A07062013689"/>
        <filter val="7321315918826901"/>
        <filter val="6A07256865063"/>
        <filter val="6A07261949055"/>
        <filter val="6A07248046036"/>
        <filter val="6A07066572656"/>
        <filter val="6A07064184257"/>
        <filter val="7321315918396107"/>
        <filter val="6A07288903078"/>
        <filter val="6A07091895690"/>
        <filter val="6A07093374292"/>
        <filter val="6A07091354692"/>
        <filter val="6A07078561273"/>
        <filter val="6A07247686844"/>
        <filter val="6A07084613287"/>
        <filter val="6A07262743867"/>
        <filter val="6A07287308089"/>
        <filter val="6A07292105482"/>
        <filter val="6A07091421684"/>
        <filter val="LD798400619BE"/>
        <filter val="LD798400605BE"/>
        <filter val="LD798400335BE"/>
        <filter val="LD797441594BE"/>
        <filter val="LD798464089BE"/>
        <filter val="LD798464251BE"/>
        <filter val="6A07091786271"/>
        <filter val="6A07092154673"/>
        <filter val="LD798334455BE"/>
        <filter val="6A07075022296"/>
        <filter val="6A07078219297"/>
        <filter val="6A07078561297"/>
        <filter val="6A07091354678"/>
        <filter val="6A07190873360"/>
        <filter val="6A07091354661"/>
        <filter val="6A07091786264"/>
        <filter val="LD798268875BE"/>
        <filter val="LD797273220BE"/>
        <filter val="6A07064978696"/>
        <filter val="6A07292105451"/>
        <filter val="6A07101888742"/>
        <filter val="6A07091354654"/>
        <filter val="LD797133528BE"/>
        <filter val="6A07091786257"/>
        <filter val="6A07053384699"/>
        <filter val="6A07092154659"/>
        <filter val="2019317789280441"/>
        <filter val="7321315918395964"/>
        <filter val="6A07059273607"/>
        <filter val="6A07091354647"/>
        <filter val="2019317789281448"/>
        <filter val="2019317789588448"/>
        <filter val="6A07091354630"/>
        <filter val="6A07060332201"/>
        <filter val="LD797766030BE"/>
        <filter val="6A07092154635"/>
        <filter val="6A07098370237"/>
        <filter val="6A07091354623"/>
        <filter val="6A07275775008"/>
        <filter val="6A07092154628"/>
        <filter val="6A07092154611"/>
        <filter val="LD798530931BE"/>
        <filter val="YT2618900701070295"/>
        <filter val="LD797578460BE"/>
        <filter val="6A07103494385"/>
        <filter val="6A07091354616"/>
        <filter val="6A07257571840"/>
        <filter val="TYZRB0014142055YQ"/>
        <filter val="TYZRB0014145379YQ"/>
        <filter val="TYZRB0014145365YQ"/>
        <filter val="TYZRB0014133191YQ"/>
        <filter val="TYZRB0014131421YQ"/>
        <filter val="TYZRB0014161265YQ"/>
        <filter val="TYZRB0014169979YQ"/>
        <filter val="TYZRB0014169989YQ"/>
        <filter val="TYZRB0014154129YQ"/>
        <filter val="TYZRB0014154241YQ"/>
        <filter val="TYZRB0014152409YQ"/>
        <filter val="TYZRB0014152411YQ"/>
        <filter val="TYZRB0014150681YQ"/>
        <filter val="TYZRB0014157691YQ"/>
        <filter val="6A07081417611"/>
        <filter val="6A07261949031"/>
        <filter val="TYZRB0014173561YQ"/>
        <filter val="TYZRB0014173405YQ"/>
        <filter val="TYZRB0014171779YQ"/>
        <filter val="TYZRB0014171791YQ"/>
        <filter val="6A07066572632"/>
        <filter val="6A07103494392"/>
        <filter val="6A07283768016"/>
        <filter val="6A07253378047"/>
        <filter val="6A07091354609"/>
        <filter val="6A07250882431"/>
        <filter val="6A07288903023"/>
        <filter val="6A07254624433"/>
        <filter val="6A07287308027"/>
        <filter val="6A07289097028"/>
        <filter val="YT2618700701297678"/>
        <filter val="6A07261949048"/>
        <filter val="6A07283768030"/>
        <filter val="6A07078219242"/>
        <filter val="6A07344789172"/>
        <filter val="YT2619700701138665"/>
        <filter val="6A07347769577"/>
        <filter val="6A07289097837"/>
        <filter val="YT2618700701297652"/>
        <filter val="6A07081417642"/>
        <filter val="6A07082306242"/>
        <filter val="6A07078219235"/>
        <filter val="LD798940741BE"/>
        <filter val="6A07143797385"/>
        <filter val="6A07250882417"/>
        <filter val="6A07283768047"/>
        <filter val="YT2620200701126130"/>
        <filter val="6A07054645980"/>
        <filter val="6A07081417550"/>
        <filter val="6A07053813182"/>
        <filter val="6A07277372366"/>
        <filter val="YT2619400709041546"/>
        <filter val="6A07250882387"/>
        <filter val="YT2618800701083530"/>
        <filter val="6A07153261470"/>
        <filter val="6A07059273577"/>
        <filter val="6A07081417567"/>
        <filter val="YT2620200701126148"/>
        <filter val="YT2620900706249148"/>
        <filter val="6A07277372380"/>
        <filter val="6A07059273560"/>
        <filter val="6A07059526161"/>
        <filter val="YT2620900701545912"/>
        <filter val="YT2621000701817913"/>
        <filter val="YT2620500704617914"/>
        <filter val="6A07061666954"/>
        <filter val="6A07085436175"/>
        <filter val="6A07081417581"/>
        <filter val="6A07277372373"/>
        <filter val="6A07093387193"/>
        <filter val="6A07066572564"/>
        <filter val="6A07084851184"/>
        <filter val="6A07101529812"/>
        <filter val="LD798400684BE"/>
        <filter val="LD798400260BE"/>
        <filter val="6A07085436199"/>
        <filter val="6A07103494422"/>
        <filter val="GV26CAA0U054290373"/>
        <filter val="6A07092154574"/>
        <filter val="LD797353149BE"/>
        <filter val="6A07092568975"/>
        <filter val="6A07277372397"/>
        <filter val="6A07101098028"/>
        <filter val="6A07093387179"/>
        <filter val="6A07091354579"/>
        <filter val="6A07091354562"/>
        <filter val="LD798269218BE"/>
        <filter val="LD797273065BE"/>
        <filter val="LD797273159BE"/>
        <filter val="6A07064184196"/>
        <filter val="6A07059273591"/>
        <filter val="2019317486612453"/>
        <filter val="6A07250882394"/>
        <filter val="6A07143797408"/>
        <filter val="6A07055442502"/>
        <filter val="6A07292105345"/>
        <filter val="2019317880246445"/>
        <filter val="SF6047742960337"/>
        <filter val="LW309754443CH"/>
        <filter val="6A07091354531"/>
        <filter val="LD797766131BE"/>
        <filter val="LD798793408BE"/>
        <filter val="6A07098860936"/>
        <filter val="6A07092154536"/>
        <filter val="6A07092948937"/>
        <filter val="6A07092948920"/>
        <filter val="6A07096464921"/>
        <filter val="YT2620900706114193"/>
        <filter val="6A07091354524"/>
        <filter val="LD797667045BE"/>
        <filter val="LD797666955BE"/>
        <filter val="6A07092154529"/>
        <filter val="6A07098860912"/>
        <filter val="LD798530548BE"/>
        <filter val="YT2619500700985995"/>
        <filter val="LD797580375BE"/>
        <filter val="6A07097559916"/>
        <filter val="STRCA0397327080776"/>
        <filter val="6A07091354517"/>
        <filter val="LW309606507CH"/>
        <filter val="YT2619400709239199"/>
        <filter val="TYZRB0014142062YQ"/>
        <filter val="TYZRB0014142026YQ"/>
        <filter val="TYZRB0014140286YQ"/>
        <filter val="TYZRB0014147166YQ"/>
        <filter val="TYZRB0014147122YQ"/>
        <filter val="TYZRB0014133192YQ"/>
        <filter val="TYZRB0014133236YQ"/>
        <filter val="TYZRB0014134982YQ"/>
        <filter val="TYZRB0014138486YQ"/>
        <filter val="TYZRB0014138442YQ"/>
        <filter val="TYZRB0014136696YQ"/>
        <filter val="TYZRB0014161286YQ"/>
        <filter val="TYZRB0014159472YQ"/>
        <filter val="TYZRB0014173392YQ"/>
        <filter val="TYZRB0014170016YQ"/>
        <filter val="6A07059273546"/>
        <filter val="6A07092948906"/>
        <filter val="6A07277372328"/>
        <filter val="6A07082241918"/>
        <filter val="6A07277372311"/>
        <filter val="6A07257824731"/>
        <filter val="6A07061666947"/>
        <filter val="6A07287503729"/>
        <filter val="6A07059273539"/>
        <filter val="LX088759181NL"/>
        <filter val="：4PX3003020597489CN"/>
        <filter val="6A07277372342"/>
        <filter val="6A07082241932"/>
        <filter val="6A07257824724"/>
        <filter val="YT2620200701126155"/>
        <filter val="6A07061666916"/>
        <filter val="6A07085436137"/>
        <filter val="YT2619300701583950"/>
        <filter val="6A07268595323"/>
        <filter val="6A07061666923"/>
        <filter val="6A07085436144"/>
        <filter val="6A07277372335"/>
        <filter val="LD798940928BE"/>
        <filter val="LD798940494BE"/>
        <filter val="6A07066572526"/>
      </filters>
    </filterColumn>
    <filterColumn colId="9">
      <filters blank="1">
        <filter val="深圳发"/>
        <filter val="客人要求"/>
        <filter val="客人要求暂时不处理"/>
        <filter val="没有刻字标志，发普通的了"/>
        <filter val="这个订单不要发货，客人的测试订单，我只是假装发货"/>
        <filter val="深圳发货"/>
        <filter val="铅笔28230 和&#10;28232两个订单合并一起发货"/>
        <filter val="有可能未刻字"/>
        <filter val="刻字笔和盒子没收到，已经发给大白兔重刻"/>
      </filters>
    </filterColumn>
    <extLst/>
  </autoFilter>
  <sortState ref="A2:P726">
    <sortCondition ref="P2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workbookViewId="0">
      <selection activeCell="J4" sqref="J4"/>
    </sheetView>
  </sheetViews>
  <sheetFormatPr defaultColWidth="9.14285714285714" defaultRowHeight="15.2"/>
  <cols>
    <col min="2" max="2" width="11.75" customWidth="1"/>
    <col min="3" max="3" width="34.8214285714286" customWidth="1"/>
    <col min="5" max="5" width="21.5714285714286" customWidth="1"/>
    <col min="6" max="6" width="21.8660714285714" customWidth="1"/>
    <col min="7" max="7" width="20.5357142857143" customWidth="1"/>
    <col min="8" max="8" width="47.0267857142857" customWidth="1"/>
  </cols>
  <sheetData>
    <row r="1" s="79" customFormat="1" ht="48.75" customHeight="1" spans="1:10">
      <c r="A1" s="82"/>
      <c r="B1" s="83"/>
      <c r="C1" s="84"/>
      <c r="D1" s="85"/>
      <c r="E1" s="86"/>
      <c r="F1" s="84"/>
      <c r="G1" s="84"/>
      <c r="H1" s="87"/>
    </row>
    <row r="2" s="79" customFormat="1" ht="24.75" customHeight="1" spans="1:10">
      <c r="A2" s="88"/>
      <c r="B2" s="89"/>
      <c r="C2" s="90"/>
      <c r="D2" s="91"/>
      <c r="E2" s="92"/>
      <c r="F2" s="90"/>
      <c r="G2" s="90"/>
      <c r="H2" s="93"/>
    </row>
    <row r="3" s="79" customFormat="1" ht="91" customHeight="1" spans="1:10">
      <c r="A3" s="94"/>
      <c r="B3" s="95"/>
      <c r="C3" s="90"/>
      <c r="D3" s="91"/>
      <c r="E3" s="96" t="s">
        <v>5171</v>
      </c>
      <c r="F3" s="97"/>
      <c r="G3" s="97"/>
      <c r="H3" s="98"/>
    </row>
    <row r="4" s="79" customFormat="1" ht="93" customHeight="1" spans="1:10">
      <c r="A4" s="94"/>
      <c r="B4" s="99" t="s">
        <v>5172</v>
      </c>
      <c r="C4" s="90"/>
      <c r="D4" s="91"/>
      <c r="E4" s="100"/>
      <c r="F4" s="90"/>
      <c r="G4" s="90"/>
      <c r="H4" s="93"/>
    </row>
    <row r="5" s="79" customFormat="1" ht="25.5" customHeight="1" spans="1:10">
      <c r="A5" s="101"/>
      <c r="B5" s="102"/>
      <c r="C5" s="103"/>
      <c r="D5" s="104"/>
      <c r="E5" s="92"/>
      <c r="F5" s="90"/>
      <c r="G5" s="90"/>
      <c r="H5" s="93"/>
    </row>
    <row r="6" s="79" customFormat="1" ht="23.25" customHeight="1" spans="1:10">
      <c r="A6" s="94"/>
      <c r="B6" s="105" t="s">
        <v>2</v>
      </c>
      <c r="C6" s="90"/>
      <c r="D6" s="91"/>
      <c r="E6" s="106"/>
      <c r="F6" s="90"/>
      <c r="G6" s="90"/>
      <c r="H6" s="93"/>
      <c r="J6" s="107"/>
    </row>
    <row r="7" s="79" customFormat="1" ht="84" customHeight="1" spans="1:10">
      <c r="A7" s="94"/>
      <c r="B7" s="105" t="s">
        <v>3</v>
      </c>
      <c r="C7" s="90"/>
      <c r="D7" s="91"/>
      <c r="E7" s="108"/>
      <c r="F7" s="109"/>
      <c r="G7" s="109"/>
      <c r="H7" s="110"/>
    </row>
    <row r="8" s="79" customFormat="1" ht="24.75" customHeight="1" spans="1:10">
      <c r="A8" s="94"/>
      <c r="B8" s="111" t="s">
        <v>4</v>
      </c>
      <c r="C8" s="90"/>
      <c r="D8" s="91"/>
      <c r="E8" s="92"/>
      <c r="F8" s="90"/>
      <c r="G8" s="90"/>
      <c r="H8" s="93"/>
    </row>
    <row r="9" s="79" customFormat="1" ht="27" customHeight="1" spans="1:10">
      <c r="A9" s="112"/>
      <c r="B9" s="113"/>
      <c r="C9" s="114"/>
      <c r="D9" s="115"/>
      <c r="E9" s="116"/>
      <c r="F9" s="114"/>
      <c r="G9" s="114"/>
      <c r="H9" s="117"/>
    </row>
    <row r="10" s="79" customFormat="1" ht="27.75" customHeight="1" spans="1:10">
      <c r="A10" s="94"/>
      <c r="B10" s="118" t="s">
        <v>5</v>
      </c>
      <c r="C10" s="119" t="s">
        <v>6</v>
      </c>
      <c r="D10" s="119" t="s">
        <v>7</v>
      </c>
      <c r="E10" s="120" t="s">
        <v>8</v>
      </c>
      <c r="F10" s="118" t="s">
        <v>5173</v>
      </c>
      <c r="G10" s="120" t="s">
        <v>5174</v>
      </c>
      <c r="H10" s="118" t="s">
        <v>11</v>
      </c>
    </row>
    <row r="11" s="80" customFormat="1" ht="18" customHeight="1" spans="1:10">
      <c r="A11" s="94"/>
      <c r="B11" s="121" t="s">
        <v>12</v>
      </c>
      <c r="C11" s="122"/>
      <c r="D11" s="122"/>
      <c r="E11" s="123"/>
      <c r="F11" s="121"/>
      <c r="G11" s="123"/>
      <c r="H11" s="121"/>
    </row>
    <row r="12" s="80" customFormat="1" ht="18" customHeight="1" spans="1:10">
      <c r="A12" s="94"/>
      <c r="B12" s="124" t="s">
        <v>13</v>
      </c>
      <c r="C12" s="125" t="s">
        <v>14</v>
      </c>
      <c r="D12" s="125">
        <v>106</v>
      </c>
      <c r="E12" s="126">
        <v>0.85</v>
      </c>
      <c r="F12" s="124" t="s">
        <v>5175</v>
      </c>
      <c r="G12" s="126"/>
      <c r="H12" s="127">
        <f>(E12+F12)*D12</f>
        <v>355.1</v>
      </c>
    </row>
    <row r="13" s="80" customFormat="1" ht="18" customHeight="1" spans="1:10">
      <c r="A13" s="94"/>
      <c r="B13" s="124" t="s">
        <v>15</v>
      </c>
      <c r="C13" s="125" t="s">
        <v>16</v>
      </c>
      <c r="D13" s="125">
        <v>1</v>
      </c>
      <c r="E13" s="126">
        <v>1.7</v>
      </c>
      <c r="F13" s="124" t="s">
        <v>5175</v>
      </c>
      <c r="G13" s="126"/>
      <c r="H13" s="127">
        <f t="shared" ref="H13:H40" si="0">(E13+F13)*D13</f>
        <v>4.2</v>
      </c>
    </row>
    <row r="14" s="80" customFormat="1" ht="18" customHeight="1" spans="1:10">
      <c r="A14" s="94"/>
      <c r="B14" s="124" t="s">
        <v>17</v>
      </c>
      <c r="C14" s="125" t="s">
        <v>18</v>
      </c>
      <c r="D14" s="125">
        <v>44</v>
      </c>
      <c r="E14" s="126">
        <v>2.55</v>
      </c>
      <c r="F14" s="124" t="s">
        <v>5175</v>
      </c>
      <c r="G14" s="126"/>
      <c r="H14" s="127">
        <f t="shared" si="0"/>
        <v>222.2</v>
      </c>
    </row>
    <row r="15" s="80" customFormat="1" ht="18" customHeight="1" spans="1:10">
      <c r="A15" s="94"/>
      <c r="B15" s="124" t="s">
        <v>19</v>
      </c>
      <c r="C15" s="125" t="s">
        <v>20</v>
      </c>
      <c r="D15" s="125"/>
      <c r="E15" s="126">
        <v>3.4</v>
      </c>
      <c r="F15" s="124" t="s">
        <v>5175</v>
      </c>
      <c r="G15" s="126"/>
      <c r="H15" s="127">
        <f t="shared" si="0"/>
        <v>0</v>
      </c>
    </row>
    <row r="16" s="80" customFormat="1" ht="18" customHeight="1" spans="1:10">
      <c r="A16" s="94"/>
      <c r="B16" s="124" t="s">
        <v>21</v>
      </c>
      <c r="C16" s="125" t="s">
        <v>22</v>
      </c>
      <c r="D16" s="125"/>
      <c r="E16" s="126">
        <v>4.25</v>
      </c>
      <c r="F16" s="124" t="s">
        <v>5175</v>
      </c>
      <c r="G16" s="126"/>
      <c r="H16" s="127">
        <f t="shared" si="0"/>
        <v>0</v>
      </c>
    </row>
    <row r="17" s="80" customFormat="1" ht="18" customHeight="1" spans="1:8">
      <c r="A17" s="94"/>
      <c r="B17" s="124" t="s">
        <v>23</v>
      </c>
      <c r="C17" s="125" t="s">
        <v>24</v>
      </c>
      <c r="D17" s="125"/>
      <c r="E17" s="126">
        <v>5.1</v>
      </c>
      <c r="F17" s="124" t="s">
        <v>5175</v>
      </c>
      <c r="G17" s="126"/>
      <c r="H17" s="127">
        <f t="shared" si="0"/>
        <v>0</v>
      </c>
    </row>
    <row r="18" s="80" customFormat="1" ht="18" customHeight="1" spans="1:8">
      <c r="A18" s="94"/>
      <c r="B18" s="124" t="s">
        <v>25</v>
      </c>
      <c r="C18" s="125" t="s">
        <v>26</v>
      </c>
      <c r="D18" s="125"/>
      <c r="E18" s="126">
        <v>5.95</v>
      </c>
      <c r="F18" s="124" t="s">
        <v>5175</v>
      </c>
      <c r="G18" s="126"/>
      <c r="H18" s="127">
        <f t="shared" si="0"/>
        <v>0</v>
      </c>
    </row>
    <row r="19" s="80" customFormat="1" ht="18" customHeight="1" spans="1:8">
      <c r="A19" s="94"/>
      <c r="B19" s="124" t="s">
        <v>27</v>
      </c>
      <c r="C19" s="125" t="s">
        <v>28</v>
      </c>
      <c r="D19" s="125"/>
      <c r="E19" s="126">
        <v>6.8</v>
      </c>
      <c r="F19" s="124" t="s">
        <v>5175</v>
      </c>
      <c r="G19" s="126"/>
      <c r="H19" s="127">
        <f t="shared" si="0"/>
        <v>0</v>
      </c>
    </row>
    <row r="20" s="80" customFormat="1" ht="18" customHeight="1" spans="1:8">
      <c r="A20" s="94"/>
      <c r="B20" s="124" t="s">
        <v>30</v>
      </c>
      <c r="C20" s="125" t="s">
        <v>31</v>
      </c>
      <c r="D20" s="125"/>
      <c r="E20" s="126" t="s">
        <v>32</v>
      </c>
      <c r="F20" s="124" t="s">
        <v>5175</v>
      </c>
      <c r="G20" s="126"/>
      <c r="H20" s="127">
        <f t="shared" si="0"/>
        <v>0</v>
      </c>
    </row>
    <row r="21" s="80" customFormat="1" ht="18" customHeight="1" spans="1:8">
      <c r="A21" s="94"/>
      <c r="B21" s="124" t="s">
        <v>33</v>
      </c>
      <c r="C21" s="125" t="s">
        <v>34</v>
      </c>
      <c r="D21" s="125"/>
      <c r="E21" s="126">
        <v>8.5</v>
      </c>
      <c r="F21" s="124" t="s">
        <v>5175</v>
      </c>
      <c r="G21" s="126"/>
      <c r="H21" s="127">
        <f t="shared" si="0"/>
        <v>0</v>
      </c>
    </row>
    <row r="22" s="80" customFormat="1" ht="18" customHeight="1" spans="1:8">
      <c r="A22" s="94"/>
      <c r="B22" s="124" t="s">
        <v>35</v>
      </c>
      <c r="C22" s="125" t="s">
        <v>36</v>
      </c>
      <c r="D22" s="125"/>
      <c r="E22" s="126">
        <v>11.3</v>
      </c>
      <c r="F22" s="124" t="s">
        <v>5175</v>
      </c>
      <c r="G22" s="126"/>
      <c r="H22" s="127">
        <f t="shared" si="0"/>
        <v>0</v>
      </c>
    </row>
    <row r="23" s="80" customFormat="1" ht="18" customHeight="1" spans="1:8">
      <c r="A23" s="94"/>
      <c r="B23" s="124" t="s">
        <v>37</v>
      </c>
      <c r="C23" s="125" t="s">
        <v>38</v>
      </c>
      <c r="D23" s="125"/>
      <c r="E23" s="126">
        <v>12.75</v>
      </c>
      <c r="F23" s="124" t="s">
        <v>5175</v>
      </c>
      <c r="G23" s="126"/>
      <c r="H23" s="127">
        <f t="shared" si="0"/>
        <v>0</v>
      </c>
    </row>
    <row r="24" s="80" customFormat="1" ht="18" customHeight="1" spans="1:8">
      <c r="A24" s="94"/>
      <c r="B24" s="124" t="s">
        <v>40</v>
      </c>
      <c r="C24" s="125" t="s">
        <v>41</v>
      </c>
      <c r="D24" s="125"/>
      <c r="E24" s="126">
        <v>13.6</v>
      </c>
      <c r="F24" s="124" t="s">
        <v>5175</v>
      </c>
      <c r="G24" s="126"/>
      <c r="H24" s="127">
        <f t="shared" si="0"/>
        <v>0</v>
      </c>
    </row>
    <row r="25" s="80" customFormat="1" ht="18" customHeight="1" spans="1:8">
      <c r="A25" s="94"/>
      <c r="B25" s="124" t="s">
        <v>43</v>
      </c>
      <c r="C25" s="125" t="s">
        <v>44</v>
      </c>
      <c r="D25" s="125"/>
      <c r="E25" s="126">
        <v>17</v>
      </c>
      <c r="F25" s="124" t="s">
        <v>5175</v>
      </c>
      <c r="G25" s="126"/>
      <c r="H25" s="127">
        <f t="shared" si="0"/>
        <v>0</v>
      </c>
    </row>
    <row r="26" s="80" customFormat="1" ht="18" customHeight="1" spans="1:8">
      <c r="A26" s="94"/>
      <c r="B26" s="124" t="s">
        <v>46</v>
      </c>
      <c r="C26" s="125" t="s">
        <v>47</v>
      </c>
      <c r="D26" s="125"/>
      <c r="E26" s="126" t="s">
        <v>48</v>
      </c>
      <c r="F26" s="124" t="s">
        <v>5175</v>
      </c>
      <c r="G26" s="126"/>
      <c r="H26" s="127">
        <f t="shared" si="0"/>
        <v>0</v>
      </c>
    </row>
    <row r="27" s="80" customFormat="1" ht="18" customHeight="1" spans="1:8">
      <c r="A27" s="94"/>
      <c r="B27" s="124" t="s">
        <v>50</v>
      </c>
      <c r="C27" s="125" t="s">
        <v>51</v>
      </c>
      <c r="D27" s="125"/>
      <c r="E27" s="126">
        <v>20.4</v>
      </c>
      <c r="F27" s="124" t="s">
        <v>5175</v>
      </c>
      <c r="G27" s="126"/>
      <c r="H27" s="127">
        <f t="shared" si="0"/>
        <v>0</v>
      </c>
    </row>
    <row r="28" s="80" customFormat="1" ht="18" customHeight="1" spans="1:8">
      <c r="A28" s="94"/>
      <c r="B28" s="124" t="s">
        <v>56</v>
      </c>
      <c r="C28" s="128" t="s">
        <v>57</v>
      </c>
      <c r="D28" s="125">
        <v>4</v>
      </c>
      <c r="E28" s="126">
        <v>0.24</v>
      </c>
      <c r="F28" s="124" t="s">
        <v>5175</v>
      </c>
      <c r="G28" s="126"/>
      <c r="H28" s="127">
        <f t="shared" si="0"/>
        <v>10.96</v>
      </c>
    </row>
    <row r="29" s="80" customFormat="1" ht="18" customHeight="1" spans="1:8">
      <c r="A29" s="94"/>
      <c r="B29" s="124" t="s">
        <v>58</v>
      </c>
      <c r="C29" s="128" t="s">
        <v>59</v>
      </c>
      <c r="D29" s="125">
        <v>7</v>
      </c>
      <c r="E29" s="126">
        <v>1.97</v>
      </c>
      <c r="F29" s="124" t="s">
        <v>5175</v>
      </c>
      <c r="G29" s="126"/>
      <c r="H29" s="127">
        <f t="shared" si="0"/>
        <v>31.29</v>
      </c>
    </row>
    <row r="30" s="80" customFormat="1" ht="18" customHeight="1" spans="1:8">
      <c r="A30" s="94"/>
      <c r="B30" s="124" t="s">
        <v>60</v>
      </c>
      <c r="C30" s="128" t="s">
        <v>5176</v>
      </c>
      <c r="D30" s="125">
        <v>11</v>
      </c>
      <c r="E30" s="126">
        <v>0.16</v>
      </c>
      <c r="F30" s="124" t="s">
        <v>5175</v>
      </c>
      <c r="G30" s="126"/>
      <c r="H30" s="127">
        <f t="shared" si="0"/>
        <v>29.26</v>
      </c>
    </row>
    <row r="31" s="80" customFormat="1" ht="18" customHeight="1" spans="1:8">
      <c r="A31" s="94"/>
      <c r="B31" s="124" t="s">
        <v>62</v>
      </c>
      <c r="C31" s="128" t="s">
        <v>63</v>
      </c>
      <c r="D31" s="125"/>
      <c r="E31" s="126">
        <v>0.24</v>
      </c>
      <c r="F31" s="124" t="s">
        <v>5175</v>
      </c>
      <c r="G31" s="126"/>
      <c r="H31" s="127">
        <f t="shared" si="0"/>
        <v>0</v>
      </c>
    </row>
    <row r="32" s="80" customFormat="1" ht="18" customHeight="1" spans="1:8">
      <c r="A32" s="94"/>
      <c r="B32" s="124" t="s">
        <v>64</v>
      </c>
      <c r="C32" s="128" t="s">
        <v>65</v>
      </c>
      <c r="D32" s="125">
        <v>5</v>
      </c>
      <c r="E32" s="126">
        <v>0.48</v>
      </c>
      <c r="F32" s="124" t="s">
        <v>5175</v>
      </c>
      <c r="G32" s="126"/>
      <c r="H32" s="127">
        <f t="shared" si="0"/>
        <v>14.9</v>
      </c>
    </row>
    <row r="33" s="80" customFormat="1" ht="18" customHeight="1" spans="1:8">
      <c r="A33" s="94"/>
      <c r="B33" s="124" t="s">
        <v>66</v>
      </c>
      <c r="C33" s="129" t="s">
        <v>67</v>
      </c>
      <c r="D33" s="125">
        <v>70</v>
      </c>
      <c r="E33" s="126">
        <v>0.48</v>
      </c>
      <c r="F33" s="124"/>
      <c r="G33" s="126"/>
      <c r="H33" s="127">
        <f t="shared" si="0"/>
        <v>33.6</v>
      </c>
    </row>
    <row r="34" s="80" customFormat="1" ht="18" customHeight="1" spans="1:8">
      <c r="A34" s="94"/>
      <c r="B34" s="124" t="s">
        <v>68</v>
      </c>
      <c r="C34" s="129" t="s">
        <v>69</v>
      </c>
      <c r="D34" s="125">
        <v>3</v>
      </c>
      <c r="E34" s="126">
        <v>1.97</v>
      </c>
      <c r="F34" s="124"/>
      <c r="G34" s="126"/>
      <c r="H34" s="127">
        <f t="shared" si="0"/>
        <v>5.91</v>
      </c>
    </row>
    <row r="35" s="80" customFormat="1" ht="18" customHeight="1" spans="1:8">
      <c r="A35" s="94"/>
      <c r="B35" s="124" t="s">
        <v>70</v>
      </c>
      <c r="C35" s="129" t="s">
        <v>71</v>
      </c>
      <c r="D35" s="125">
        <v>60</v>
      </c>
      <c r="E35" s="126">
        <v>0.16</v>
      </c>
      <c r="F35" s="124"/>
      <c r="G35" s="126"/>
      <c r="H35" s="127">
        <f t="shared" si="0"/>
        <v>9.6</v>
      </c>
    </row>
    <row r="36" s="80" customFormat="1" ht="18" customHeight="1" spans="1:8">
      <c r="A36" s="94"/>
      <c r="B36" s="124" t="s">
        <v>72</v>
      </c>
      <c r="C36" s="129" t="s">
        <v>73</v>
      </c>
      <c r="D36" s="125">
        <v>88</v>
      </c>
      <c r="E36" s="126">
        <v>0.24</v>
      </c>
      <c r="F36" s="124"/>
      <c r="G36" s="126"/>
      <c r="H36" s="127">
        <f t="shared" si="0"/>
        <v>21.12</v>
      </c>
    </row>
    <row r="37" s="80" customFormat="1" ht="18" customHeight="1" spans="1:8">
      <c r="A37" s="94"/>
      <c r="B37" s="124" t="s">
        <v>74</v>
      </c>
      <c r="C37" s="129" t="s">
        <v>75</v>
      </c>
      <c r="D37" s="125">
        <v>86</v>
      </c>
      <c r="E37" s="126">
        <v>0.48</v>
      </c>
      <c r="F37" s="124"/>
      <c r="G37" s="126"/>
      <c r="H37" s="127">
        <f t="shared" si="0"/>
        <v>41.28</v>
      </c>
    </row>
    <row r="38" s="80" customFormat="1" ht="18" customHeight="1" spans="1:8">
      <c r="A38" s="94"/>
      <c r="B38" s="124" t="s">
        <v>76</v>
      </c>
      <c r="C38" s="129" t="s">
        <v>77</v>
      </c>
      <c r="D38" s="125">
        <v>3</v>
      </c>
      <c r="E38" s="126">
        <v>0.04</v>
      </c>
      <c r="F38" s="124"/>
      <c r="G38" s="126"/>
      <c r="H38" s="127">
        <f t="shared" si="0"/>
        <v>0.12</v>
      </c>
    </row>
    <row r="39" s="80" customFormat="1" ht="18" customHeight="1" spans="1:8">
      <c r="A39" s="94"/>
      <c r="B39" s="124" t="s">
        <v>5177</v>
      </c>
      <c r="C39" s="129" t="s">
        <v>5178</v>
      </c>
      <c r="D39" s="125">
        <v>11</v>
      </c>
      <c r="E39" s="126">
        <v>0.37</v>
      </c>
      <c r="F39" s="124"/>
      <c r="G39" s="126"/>
      <c r="H39" s="127">
        <f t="shared" si="0"/>
        <v>4.07</v>
      </c>
    </row>
    <row r="40" s="80" customFormat="1" ht="18" customHeight="1" spans="1:8">
      <c r="A40" s="94"/>
      <c r="B40" s="124" t="s">
        <v>5179</v>
      </c>
      <c r="C40" s="129" t="s">
        <v>5180</v>
      </c>
      <c r="D40" s="125">
        <v>1</v>
      </c>
      <c r="E40" s="126"/>
      <c r="F40" s="124"/>
      <c r="G40" s="126">
        <v>346.46</v>
      </c>
      <c r="H40" s="127">
        <f>G40*D40</f>
        <v>346.46</v>
      </c>
    </row>
    <row r="41" s="80" customFormat="1" ht="65" customHeight="1" spans="1:8">
      <c r="A41" s="94"/>
      <c r="B41" s="124" t="s">
        <v>5181</v>
      </c>
      <c r="C41" s="130" t="s">
        <v>5182</v>
      </c>
      <c r="D41" s="125">
        <v>1</v>
      </c>
      <c r="E41" s="126"/>
      <c r="F41" s="124"/>
      <c r="G41" s="126">
        <v>468.27</v>
      </c>
      <c r="H41" s="127">
        <f>G41*D41</f>
        <v>468.27</v>
      </c>
    </row>
    <row r="42" s="80" customFormat="1" ht="70" customHeight="1" spans="1:8">
      <c r="A42" s="94"/>
      <c r="B42" s="124" t="s">
        <v>5183</v>
      </c>
      <c r="C42" s="130" t="s">
        <v>5184</v>
      </c>
      <c r="D42" s="125">
        <v>1</v>
      </c>
      <c r="E42" s="126"/>
      <c r="F42" s="124"/>
      <c r="G42" s="126">
        <v>910.8</v>
      </c>
      <c r="H42" s="127">
        <f>G42*D42</f>
        <v>910.8</v>
      </c>
    </row>
    <row r="43" s="79" customFormat="1" ht="32.25" customHeight="1" spans="1:8">
      <c r="A43" s="94"/>
      <c r="B43" s="131" t="s">
        <v>5185</v>
      </c>
      <c r="C43" s="131"/>
      <c r="D43" s="132">
        <f>SUM(D12:D32)</f>
        <v>178</v>
      </c>
      <c r="E43" s="133" t="s">
        <v>5186</v>
      </c>
      <c r="F43" s="133"/>
      <c r="G43" s="133"/>
      <c r="H43" s="134">
        <f>SUM(H12:H42)</f>
        <v>2509.14</v>
      </c>
    </row>
    <row r="44" s="79" customFormat="1" ht="32.25" customHeight="1" spans="1:8">
      <c r="A44" s="94"/>
      <c r="B44" s="131" t="s">
        <v>5186</v>
      </c>
      <c r="C44" s="131"/>
      <c r="D44" s="132"/>
      <c r="E44" s="133"/>
      <c r="F44" s="134"/>
      <c r="G44" s="134"/>
      <c r="H44" s="134">
        <f>H43</f>
        <v>2509.14</v>
      </c>
    </row>
    <row r="45" s="79" customFormat="1" ht="25.5" customHeight="1" spans="1:8">
      <c r="A45" s="94"/>
      <c r="B45" s="135" t="s">
        <v>126</v>
      </c>
      <c r="C45" s="136"/>
      <c r="D45" s="137"/>
      <c r="E45" s="138"/>
      <c r="F45" s="136"/>
      <c r="G45" s="136"/>
      <c r="H45" s="139"/>
    </row>
    <row r="46" s="79" customFormat="1" ht="21" customHeight="1" spans="1:8">
      <c r="A46" s="94"/>
      <c r="B46" s="140" t="s">
        <v>127</v>
      </c>
      <c r="C46" s="141"/>
      <c r="D46" s="142"/>
      <c r="E46" s="143"/>
      <c r="F46" s="141"/>
      <c r="G46" s="141"/>
      <c r="H46" s="144"/>
    </row>
    <row r="47" ht="19" customHeight="1" spans="1:8">
      <c r="B47" s="145">
        <f>H44</f>
        <v>2509.14</v>
      </c>
      <c r="C47" s="145"/>
      <c r="D47" s="145"/>
      <c r="E47" s="145"/>
      <c r="F47" s="145"/>
      <c r="G47" s="145"/>
      <c r="H47" s="145"/>
    </row>
    <row r="48" s="81" customFormat="1" ht="21" customHeight="1" spans="1:8">
      <c r="A48" s="146"/>
      <c r="B48" s="147" t="s">
        <v>128</v>
      </c>
      <c r="C48" s="148"/>
      <c r="D48" s="149"/>
      <c r="E48" s="150"/>
      <c r="F48" s="148"/>
      <c r="G48" s="148"/>
      <c r="H48" s="151"/>
    </row>
    <row r="49" s="81" customFormat="1" ht="21" customHeight="1" spans="1:8">
      <c r="A49" s="146"/>
      <c r="B49" s="152" t="s">
        <v>129</v>
      </c>
      <c r="C49" s="153"/>
      <c r="D49" s="153"/>
      <c r="E49" s="153"/>
      <c r="F49" s="153"/>
      <c r="G49" s="153"/>
      <c r="H49" s="154"/>
    </row>
    <row r="50" s="81" customFormat="1" ht="21" customHeight="1" spans="1:8">
      <c r="A50" s="146"/>
      <c r="B50" s="152" t="s">
        <v>130</v>
      </c>
      <c r="C50" s="153"/>
      <c r="D50" s="153"/>
      <c r="E50" s="153"/>
      <c r="F50" s="153"/>
      <c r="G50" s="153"/>
      <c r="H50" s="154"/>
    </row>
    <row r="51" s="81" customFormat="1" ht="21" customHeight="1" spans="1:8">
      <c r="A51" s="146"/>
      <c r="B51" s="152" t="s">
        <v>131</v>
      </c>
      <c r="C51" s="153"/>
      <c r="D51" s="153"/>
      <c r="E51" s="153"/>
      <c r="F51" s="153"/>
      <c r="G51" s="153"/>
      <c r="H51" s="154"/>
    </row>
    <row r="52" s="81" customFormat="1" ht="21" customHeight="1" spans="1:8">
      <c r="A52" s="146"/>
      <c r="B52" s="152" t="s">
        <v>132</v>
      </c>
      <c r="C52" s="153"/>
      <c r="D52" s="153"/>
      <c r="E52" s="153"/>
      <c r="F52" s="153"/>
      <c r="G52" s="153"/>
      <c r="H52" s="154"/>
    </row>
    <row r="53" s="81" customFormat="1" ht="21" customHeight="1" spans="1:8">
      <c r="A53" s="146"/>
      <c r="B53" s="152" t="s">
        <v>133</v>
      </c>
      <c r="C53" s="153"/>
      <c r="D53" s="153"/>
      <c r="E53" s="153"/>
      <c r="F53" s="153"/>
      <c r="G53" s="153"/>
      <c r="H53" s="154"/>
    </row>
    <row r="54" s="81" customFormat="1" ht="21" customHeight="1" spans="1:8">
      <c r="A54" s="146"/>
      <c r="B54" s="155" t="s">
        <v>134</v>
      </c>
      <c r="C54" s="156"/>
      <c r="D54" s="156"/>
      <c r="E54" s="156"/>
      <c r="F54" s="156"/>
      <c r="G54" s="156"/>
      <c r="H54" s="157"/>
    </row>
    <row r="55" s="79" customFormat="1" ht="21" customHeight="1" spans="1:8">
      <c r="A55" s="94"/>
      <c r="B55" s="158" t="s">
        <v>135</v>
      </c>
      <c r="C55" s="159"/>
      <c r="D55" s="159"/>
      <c r="E55" s="159"/>
      <c r="F55" s="159"/>
      <c r="G55" s="159"/>
      <c r="H55" s="159"/>
    </row>
    <row r="56" s="79" customFormat="1" ht="21" customHeight="1" spans="1:8">
      <c r="A56" s="94"/>
      <c r="B56" s="160" t="s">
        <v>136</v>
      </c>
      <c r="C56" s="141"/>
      <c r="D56" s="142"/>
      <c r="E56" s="141"/>
      <c r="F56" s="141"/>
      <c r="G56" s="141"/>
      <c r="H56" s="144"/>
    </row>
    <row r="57" s="79" customFormat="1" ht="21" customHeight="1" spans="1:8">
      <c r="A57" s="94"/>
      <c r="B57" s="161" t="s">
        <v>137</v>
      </c>
      <c r="C57" s="141"/>
      <c r="D57" s="142"/>
      <c r="E57" s="141"/>
      <c r="F57" s="141"/>
      <c r="G57" s="141"/>
      <c r="H57" s="144"/>
    </row>
    <row r="58" s="79" customFormat="1" ht="21" customHeight="1" spans="1:8">
      <c r="A58" s="94"/>
      <c r="B58" s="162" t="s">
        <v>138</v>
      </c>
      <c r="C58" s="141"/>
      <c r="D58" s="142"/>
      <c r="E58" s="141"/>
      <c r="F58" s="141"/>
      <c r="G58" s="141"/>
      <c r="H58" s="144"/>
    </row>
    <row r="59" s="79" customFormat="1" ht="21" customHeight="1" spans="1:8">
      <c r="A59" s="94"/>
      <c r="B59" s="162" t="s">
        <v>139</v>
      </c>
      <c r="C59" s="141"/>
      <c r="D59" s="142"/>
      <c r="E59" s="141"/>
      <c r="F59" s="141"/>
      <c r="G59" s="141"/>
      <c r="H59" s="144"/>
    </row>
    <row r="60" s="79" customFormat="1" ht="12" customHeight="1" spans="1:8">
      <c r="A60"/>
      <c r="B60" s="163"/>
      <c r="C60" s="164"/>
      <c r="D60" s="165"/>
      <c r="E60" s="164"/>
      <c r="F60" s="164"/>
      <c r="G60" s="164"/>
      <c r="H60" s="166"/>
    </row>
    <row r="61" s="79" customFormat="1" ht="15.75" customHeight="1" spans="1:8">
      <c r="B61" s="167"/>
      <c r="C61" s="167"/>
      <c r="D61" s="168"/>
      <c r="E61" s="167"/>
      <c r="F61" s="167"/>
      <c r="G61" s="167"/>
      <c r="H61" s="167"/>
    </row>
    <row r="62" s="79" customFormat="1" ht="15.75" customHeight="1" spans="1:8">
      <c r="D62" s="169"/>
    </row>
    <row r="63" s="79" customFormat="1" ht="15.75" customHeight="1" spans="1:8">
      <c r="D63" s="169"/>
    </row>
    <row r="64" s="79" customFormat="1" ht="15.75" customHeight="1" spans="1:8">
      <c r="D64" s="169"/>
      <c r="E64" s="170"/>
    </row>
    <row r="65" s="79" customFormat="1" ht="15.75" customHeight="1" spans="4:5">
      <c r="D65" s="169"/>
      <c r="E65" s="170"/>
    </row>
  </sheetData>
  <mergeCells count="29">
    <mergeCell ref="B2:H2"/>
    <mergeCell ref="B3:D3"/>
    <mergeCell ref="E3:H3"/>
    <mergeCell ref="B4:D4"/>
    <mergeCell ref="B6:D6"/>
    <mergeCell ref="E6:H6"/>
    <mergeCell ref="B7:D7"/>
    <mergeCell ref="B8:H8"/>
    <mergeCell ref="B9:H9"/>
    <mergeCell ref="B11:H11"/>
    <mergeCell ref="B43:C43"/>
    <mergeCell ref="E43:G43"/>
    <mergeCell ref="B44:G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B58:H58"/>
    <mergeCell ref="B59:H59"/>
    <mergeCell ref="E4:H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63"/>
  <sheetViews>
    <sheetView workbookViewId="0">
      <selection activeCell="J40" sqref="J40"/>
    </sheetView>
  </sheetViews>
  <sheetFormatPr defaultColWidth="15.9107142857143" defaultRowHeight="15" customHeight="1"/>
  <cols>
    <col min="1" max="3" width="15.9107142857143" customWidth="1"/>
    <col min="4" max="4" width="26.1875" customWidth="1"/>
    <col min="5" max="5" width="49.4017857142857" customWidth="1"/>
    <col min="6" max="16384" width="15.9107142857143" customWidth="1"/>
  </cols>
  <sheetData>
    <row r="1" customHeight="1" spans="1:16">
      <c r="A1" s="64" t="s">
        <v>140</v>
      </c>
      <c r="B1" s="64" t="s">
        <v>141</v>
      </c>
      <c r="C1" s="64" t="s">
        <v>142</v>
      </c>
      <c r="D1" s="64" t="s">
        <v>143</v>
      </c>
      <c r="E1" s="64" t="s">
        <v>144</v>
      </c>
      <c r="F1" s="64" t="s">
        <v>145</v>
      </c>
      <c r="G1" s="64" t="s">
        <v>146</v>
      </c>
      <c r="H1" s="64" t="s">
        <v>147</v>
      </c>
      <c r="I1" s="64" t="s">
        <v>148</v>
      </c>
      <c r="J1" s="64" t="s">
        <v>149</v>
      </c>
      <c r="K1" s="64" t="s">
        <v>150</v>
      </c>
      <c r="L1" s="64" t="s">
        <v>151</v>
      </c>
      <c r="M1" s="64" t="s">
        <v>152</v>
      </c>
      <c r="N1" s="64" t="s">
        <v>153</v>
      </c>
      <c r="O1" s="64" t="s">
        <v>154</v>
      </c>
      <c r="P1" s="64" t="s">
        <v>155</v>
      </c>
    </row>
    <row r="2" s="61" customFormat="1" hidden="1" customHeight="1" spans="1:16">
      <c r="A2" s="65" t="s">
        <v>640</v>
      </c>
      <c r="B2" s="65">
        <v>23.9</v>
      </c>
      <c r="C2" s="65">
        <v>2</v>
      </c>
      <c r="D2" s="65" t="s">
        <v>646</v>
      </c>
      <c r="E2" s="65" t="s">
        <v>647</v>
      </c>
      <c r="F2" s="65" t="s">
        <v>12</v>
      </c>
      <c r="G2" s="65" t="s">
        <v>641</v>
      </c>
      <c r="H2" s="65" t="s">
        <v>648</v>
      </c>
      <c r="I2" s="66" t="s">
        <v>5166</v>
      </c>
      <c r="J2" s="65" t="s">
        <v>649</v>
      </c>
      <c r="K2" s="65" t="s">
        <v>161</v>
      </c>
      <c r="L2" s="65" t="s">
        <v>643</v>
      </c>
      <c r="M2" s="65" t="s">
        <v>650</v>
      </c>
      <c r="N2" s="65" t="s">
        <v>650</v>
      </c>
      <c r="O2" s="65" t="s">
        <v>165</v>
      </c>
      <c r="P2" s="65" t="s">
        <v>651</v>
      </c>
    </row>
    <row r="3" customHeight="1" spans="1:16">
      <c r="A3" s="67" t="s">
        <v>1777</v>
      </c>
      <c r="B3" s="67">
        <v>13.9</v>
      </c>
      <c r="C3" s="67">
        <v>1</v>
      </c>
      <c r="D3" s="67" t="s">
        <v>926</v>
      </c>
      <c r="E3" s="67" t="s">
        <v>1786</v>
      </c>
      <c r="F3" s="67" t="s">
        <v>12</v>
      </c>
      <c r="G3" s="67" t="s">
        <v>1780</v>
      </c>
      <c r="H3" s="67" t="s">
        <v>1787</v>
      </c>
      <c r="I3" s="67" t="s">
        <v>161</v>
      </c>
      <c r="J3" s="67" t="s">
        <v>649</v>
      </c>
      <c r="K3" s="67" t="s">
        <v>161</v>
      </c>
      <c r="L3" s="67" t="s">
        <v>1782</v>
      </c>
      <c r="M3" s="67" t="s">
        <v>1788</v>
      </c>
      <c r="N3" s="67" t="s">
        <v>1788</v>
      </c>
      <c r="O3" s="67" t="s">
        <v>165</v>
      </c>
      <c r="P3" s="67" t="s">
        <v>1789</v>
      </c>
    </row>
    <row r="4" s="61" customFormat="1" hidden="1" customHeight="1" spans="1:16">
      <c r="A4" s="65" t="s">
        <v>1796</v>
      </c>
      <c r="B4" s="65">
        <v>23.9</v>
      </c>
      <c r="C4" s="65">
        <v>1</v>
      </c>
      <c r="D4" s="65" t="s">
        <v>1804</v>
      </c>
      <c r="E4" s="65" t="s">
        <v>1805</v>
      </c>
      <c r="F4" s="65" t="s">
        <v>12</v>
      </c>
      <c r="G4" s="65" t="s">
        <v>1799</v>
      </c>
      <c r="H4" s="65" t="s">
        <v>1806</v>
      </c>
      <c r="I4" s="66" t="s">
        <v>5166</v>
      </c>
      <c r="J4" s="65" t="s">
        <v>1807</v>
      </c>
      <c r="K4" s="65" t="s">
        <v>161</v>
      </c>
      <c r="L4" s="65" t="s">
        <v>1801</v>
      </c>
      <c r="M4" s="65" t="s">
        <v>1808</v>
      </c>
      <c r="N4" s="65" t="s">
        <v>1808</v>
      </c>
      <c r="O4" s="65" t="s">
        <v>165</v>
      </c>
      <c r="P4" s="65" t="s">
        <v>1789</v>
      </c>
    </row>
    <row r="5" customHeight="1" spans="1:16">
      <c r="A5" s="67" t="s">
        <v>1892</v>
      </c>
      <c r="B5" s="67">
        <v>0</v>
      </c>
      <c r="C5" s="67">
        <v>1</v>
      </c>
      <c r="D5" s="67" t="s">
        <v>926</v>
      </c>
      <c r="E5" s="67" t="s">
        <v>1786</v>
      </c>
      <c r="F5" s="67" t="s">
        <v>12</v>
      </c>
      <c r="G5" s="67" t="s">
        <v>1893</v>
      </c>
      <c r="H5" s="67" t="s">
        <v>1898</v>
      </c>
      <c r="I5" s="67" t="s">
        <v>161</v>
      </c>
      <c r="J5" s="67" t="s">
        <v>649</v>
      </c>
      <c r="K5" s="67" t="s">
        <v>161</v>
      </c>
      <c r="L5" s="67" t="s">
        <v>1895</v>
      </c>
      <c r="M5" s="67" t="s">
        <v>1899</v>
      </c>
      <c r="N5" s="67" t="s">
        <v>1899</v>
      </c>
      <c r="O5" s="67" t="s">
        <v>165</v>
      </c>
      <c r="P5" s="67" t="s">
        <v>1900</v>
      </c>
    </row>
    <row r="6" customHeight="1" spans="1:16">
      <c r="A6" s="67" t="s">
        <v>2029</v>
      </c>
      <c r="B6" s="67">
        <v>30.85</v>
      </c>
      <c r="C6" s="67">
        <v>3</v>
      </c>
      <c r="D6" s="67" t="s">
        <v>5187</v>
      </c>
      <c r="E6" s="67" t="s">
        <v>247</v>
      </c>
      <c r="F6" s="67" t="s">
        <v>12</v>
      </c>
      <c r="G6" s="67" t="s">
        <v>2031</v>
      </c>
      <c r="H6" s="67" t="s">
        <v>2032</v>
      </c>
      <c r="I6" s="67" t="s">
        <v>161</v>
      </c>
      <c r="J6" s="67" t="s">
        <v>649</v>
      </c>
      <c r="K6" s="67" t="s">
        <v>161</v>
      </c>
      <c r="L6" s="67" t="s">
        <v>2033</v>
      </c>
      <c r="M6" s="67" t="s">
        <v>2034</v>
      </c>
      <c r="N6" s="67" t="s">
        <v>2034</v>
      </c>
      <c r="O6" s="67" t="s">
        <v>165</v>
      </c>
      <c r="P6" s="67" t="s">
        <v>2035</v>
      </c>
    </row>
    <row r="7" customHeight="1" spans="1:16">
      <c r="A7" s="67" t="s">
        <v>2065</v>
      </c>
      <c r="B7" s="67">
        <v>52.7</v>
      </c>
      <c r="C7" s="67">
        <v>5</v>
      </c>
      <c r="D7" s="67" t="s">
        <v>5188</v>
      </c>
      <c r="E7" s="67" t="s">
        <v>2067</v>
      </c>
      <c r="F7" s="67" t="s">
        <v>12</v>
      </c>
      <c r="G7" s="67" t="s">
        <v>2068</v>
      </c>
      <c r="H7" s="67" t="s">
        <v>2069</v>
      </c>
      <c r="I7" s="67" t="s">
        <v>161</v>
      </c>
      <c r="J7" s="67" t="s">
        <v>649</v>
      </c>
      <c r="K7" s="67" t="s">
        <v>161</v>
      </c>
      <c r="L7" s="67" t="s">
        <v>2070</v>
      </c>
      <c r="M7" s="67" t="s">
        <v>2071</v>
      </c>
      <c r="N7" s="67" t="s">
        <v>2071</v>
      </c>
      <c r="O7" s="67" t="s">
        <v>165</v>
      </c>
      <c r="P7" s="67" t="s">
        <v>2072</v>
      </c>
    </row>
    <row r="8" customHeight="1" spans="1:16">
      <c r="A8" s="67" t="s">
        <v>2073</v>
      </c>
      <c r="B8" s="67">
        <v>35.75</v>
      </c>
      <c r="C8" s="67">
        <v>4</v>
      </c>
      <c r="D8" s="67" t="s">
        <v>5189</v>
      </c>
      <c r="E8" s="67" t="s">
        <v>2075</v>
      </c>
      <c r="F8" s="67" t="s">
        <v>12</v>
      </c>
      <c r="G8" s="67" t="s">
        <v>2076</v>
      </c>
      <c r="H8" s="67" t="s">
        <v>2077</v>
      </c>
      <c r="I8" s="67" t="s">
        <v>161</v>
      </c>
      <c r="J8" s="67" t="s">
        <v>649</v>
      </c>
      <c r="K8" s="67" t="s">
        <v>161</v>
      </c>
      <c r="L8" s="67" t="s">
        <v>2078</v>
      </c>
      <c r="M8" s="67" t="s">
        <v>2079</v>
      </c>
      <c r="N8" s="67" t="s">
        <v>2079</v>
      </c>
      <c r="O8" s="67" t="s">
        <v>165</v>
      </c>
      <c r="P8" s="67" t="s">
        <v>2080</v>
      </c>
    </row>
    <row r="9" customHeight="1" spans="1:16">
      <c r="A9" s="67" t="s">
        <v>2096</v>
      </c>
      <c r="B9" s="67">
        <v>60.15</v>
      </c>
      <c r="C9" s="67">
        <v>6</v>
      </c>
      <c r="D9" s="67" t="s">
        <v>5190</v>
      </c>
      <c r="E9" s="67" t="s">
        <v>2098</v>
      </c>
      <c r="F9" s="67" t="s">
        <v>12</v>
      </c>
      <c r="G9" s="67" t="s">
        <v>2099</v>
      </c>
      <c r="H9" s="67" t="s">
        <v>2100</v>
      </c>
      <c r="I9" s="67" t="s">
        <v>161</v>
      </c>
      <c r="J9" s="67" t="s">
        <v>649</v>
      </c>
      <c r="K9" s="67" t="s">
        <v>161</v>
      </c>
      <c r="L9" s="67" t="s">
        <v>2101</v>
      </c>
      <c r="M9" s="67" t="s">
        <v>2102</v>
      </c>
      <c r="N9" s="67" t="s">
        <v>2102</v>
      </c>
      <c r="O9" s="67" t="s">
        <v>165</v>
      </c>
      <c r="P9" s="67" t="s">
        <v>2103</v>
      </c>
    </row>
    <row r="10" customHeight="1" spans="1:16">
      <c r="A10" s="67" t="s">
        <v>2104</v>
      </c>
      <c r="B10" s="67">
        <v>47.8</v>
      </c>
      <c r="C10" s="67">
        <v>4</v>
      </c>
      <c r="D10" s="67" t="s">
        <v>5191</v>
      </c>
      <c r="E10" s="67" t="s">
        <v>2106</v>
      </c>
      <c r="F10" s="67" t="s">
        <v>12</v>
      </c>
      <c r="G10" s="67" t="s">
        <v>2107</v>
      </c>
      <c r="H10" s="67" t="s">
        <v>2108</v>
      </c>
      <c r="I10" s="67" t="s">
        <v>161</v>
      </c>
      <c r="J10" s="67" t="s">
        <v>649</v>
      </c>
      <c r="K10" s="67" t="s">
        <v>161</v>
      </c>
      <c r="L10" s="67" t="s">
        <v>2109</v>
      </c>
      <c r="M10" s="67" t="s">
        <v>2110</v>
      </c>
      <c r="N10" s="67" t="s">
        <v>2110</v>
      </c>
      <c r="O10" s="67" t="s">
        <v>165</v>
      </c>
      <c r="P10" s="67" t="s">
        <v>2111</v>
      </c>
    </row>
    <row r="11" customHeight="1" spans="1:16">
      <c r="A11" s="67" t="s">
        <v>2142</v>
      </c>
      <c r="B11" s="67">
        <v>26.89</v>
      </c>
      <c r="C11" s="67">
        <v>2</v>
      </c>
      <c r="D11" s="67" t="s">
        <v>5192</v>
      </c>
      <c r="E11" s="67" t="s">
        <v>357</v>
      </c>
      <c r="F11" s="67" t="s">
        <v>12</v>
      </c>
      <c r="G11" s="67" t="s">
        <v>2144</v>
      </c>
      <c r="H11" s="67" t="s">
        <v>2145</v>
      </c>
      <c r="I11" s="67" t="s">
        <v>161</v>
      </c>
      <c r="J11" s="67" t="s">
        <v>649</v>
      </c>
      <c r="K11" s="67" t="s">
        <v>161</v>
      </c>
      <c r="L11" s="67" t="s">
        <v>2146</v>
      </c>
      <c r="M11" s="67" t="s">
        <v>2147</v>
      </c>
      <c r="N11" s="67" t="s">
        <v>2147</v>
      </c>
      <c r="O11" s="67" t="s">
        <v>165</v>
      </c>
      <c r="P11" s="67" t="s">
        <v>2148</v>
      </c>
    </row>
    <row r="12" customHeight="1" spans="1:16">
      <c r="A12" s="67" t="s">
        <v>2164</v>
      </c>
      <c r="B12" s="67">
        <v>26.89</v>
      </c>
      <c r="C12" s="67">
        <v>2</v>
      </c>
      <c r="D12" s="67" t="s">
        <v>5192</v>
      </c>
      <c r="E12" s="67" t="s">
        <v>233</v>
      </c>
      <c r="F12" s="67" t="s">
        <v>12</v>
      </c>
      <c r="G12" s="67" t="s">
        <v>2166</v>
      </c>
      <c r="H12" s="67" t="s">
        <v>2167</v>
      </c>
      <c r="I12" s="67" t="s">
        <v>161</v>
      </c>
      <c r="J12" s="67" t="s">
        <v>649</v>
      </c>
      <c r="K12" s="67" t="s">
        <v>161</v>
      </c>
      <c r="L12" s="67" t="s">
        <v>2168</v>
      </c>
      <c r="M12" s="67" t="s">
        <v>2169</v>
      </c>
      <c r="N12" s="67" t="s">
        <v>2169</v>
      </c>
      <c r="O12" s="67" t="s">
        <v>165</v>
      </c>
      <c r="P12" s="67" t="s">
        <v>2170</v>
      </c>
    </row>
    <row r="13" customHeight="1" spans="1:16">
      <c r="A13" s="67" t="s">
        <v>2177</v>
      </c>
      <c r="B13" s="67">
        <v>39.24</v>
      </c>
      <c r="C13" s="67">
        <v>3</v>
      </c>
      <c r="D13" s="67" t="s">
        <v>5193</v>
      </c>
      <c r="E13" s="67" t="s">
        <v>2122</v>
      </c>
      <c r="F13" s="67" t="s">
        <v>12</v>
      </c>
      <c r="G13" s="67" t="s">
        <v>2172</v>
      </c>
      <c r="H13" s="67" t="s">
        <v>2179</v>
      </c>
      <c r="I13" s="67" t="s">
        <v>161</v>
      </c>
      <c r="J13" s="67" t="s">
        <v>649</v>
      </c>
      <c r="K13" s="67" t="s">
        <v>161</v>
      </c>
      <c r="L13" s="67" t="s">
        <v>2174</v>
      </c>
      <c r="M13" s="67" t="s">
        <v>2180</v>
      </c>
      <c r="N13" s="67" t="s">
        <v>2180</v>
      </c>
      <c r="O13" s="67" t="s">
        <v>165</v>
      </c>
      <c r="P13" s="67" t="s">
        <v>2181</v>
      </c>
    </row>
    <row r="14" customHeight="1" spans="1:16">
      <c r="A14" s="67" t="s">
        <v>2221</v>
      </c>
      <c r="B14" s="67">
        <v>30.85</v>
      </c>
      <c r="C14" s="67">
        <v>3</v>
      </c>
      <c r="D14" s="67" t="s">
        <v>5187</v>
      </c>
      <c r="E14" s="67" t="s">
        <v>1555</v>
      </c>
      <c r="F14" s="67" t="s">
        <v>12</v>
      </c>
      <c r="G14" s="67" t="s">
        <v>2223</v>
      </c>
      <c r="H14" s="67" t="s">
        <v>2224</v>
      </c>
      <c r="I14" s="67" t="s">
        <v>161</v>
      </c>
      <c r="J14" s="67" t="s">
        <v>649</v>
      </c>
      <c r="K14" s="67" t="s">
        <v>161</v>
      </c>
      <c r="L14" s="67" t="s">
        <v>2225</v>
      </c>
      <c r="M14" s="67" t="s">
        <v>2226</v>
      </c>
      <c r="N14" s="67" t="s">
        <v>2226</v>
      </c>
      <c r="O14" s="67" t="s">
        <v>165</v>
      </c>
      <c r="P14" s="67" t="s">
        <v>2227</v>
      </c>
    </row>
    <row r="15" customHeight="1" spans="1:16">
      <c r="A15" s="67" t="s">
        <v>2265</v>
      </c>
      <c r="B15" s="67">
        <v>59.65</v>
      </c>
      <c r="C15" s="67">
        <v>5</v>
      </c>
      <c r="D15" s="67" t="s">
        <v>5194</v>
      </c>
      <c r="E15" s="67" t="s">
        <v>2267</v>
      </c>
      <c r="F15" s="67" t="s">
        <v>12</v>
      </c>
      <c r="G15" s="67" t="s">
        <v>2268</v>
      </c>
      <c r="H15" s="67" t="s">
        <v>2269</v>
      </c>
      <c r="I15" s="67" t="s">
        <v>161</v>
      </c>
      <c r="J15" s="67" t="s">
        <v>649</v>
      </c>
      <c r="K15" s="67" t="s">
        <v>161</v>
      </c>
      <c r="L15" s="67" t="s">
        <v>2270</v>
      </c>
      <c r="M15" s="67" t="s">
        <v>2271</v>
      </c>
      <c r="N15" s="67" t="s">
        <v>2271</v>
      </c>
      <c r="O15" s="67" t="s">
        <v>165</v>
      </c>
      <c r="P15" s="67" t="s">
        <v>2272</v>
      </c>
    </row>
    <row r="16" customHeight="1" spans="1:16">
      <c r="A16" s="67" t="s">
        <v>2279</v>
      </c>
      <c r="B16" s="67">
        <v>13.94</v>
      </c>
      <c r="C16" s="67">
        <v>2</v>
      </c>
      <c r="D16" s="67" t="s">
        <v>5195</v>
      </c>
      <c r="E16" s="67" t="s">
        <v>2281</v>
      </c>
      <c r="F16" s="67" t="s">
        <v>12</v>
      </c>
      <c r="G16" s="67" t="s">
        <v>808</v>
      </c>
      <c r="H16" s="67" t="s">
        <v>2282</v>
      </c>
      <c r="I16" s="67" t="s">
        <v>161</v>
      </c>
      <c r="J16" s="67" t="s">
        <v>649</v>
      </c>
      <c r="K16" s="67" t="s">
        <v>161</v>
      </c>
      <c r="L16" s="67" t="s">
        <v>1858</v>
      </c>
      <c r="M16" s="67" t="s">
        <v>2283</v>
      </c>
      <c r="N16" s="67" t="s">
        <v>2283</v>
      </c>
      <c r="O16" s="67" t="s">
        <v>165</v>
      </c>
      <c r="P16" s="67" t="s">
        <v>2284</v>
      </c>
    </row>
    <row r="17" customHeight="1" spans="1:16">
      <c r="A17" s="67" t="s">
        <v>2293</v>
      </c>
      <c r="B17" s="67">
        <v>59.65</v>
      </c>
      <c r="C17" s="67">
        <v>6</v>
      </c>
      <c r="D17" s="67" t="s">
        <v>5196</v>
      </c>
      <c r="E17" s="67" t="s">
        <v>2295</v>
      </c>
      <c r="F17" s="67" t="s">
        <v>12</v>
      </c>
      <c r="G17" s="67" t="s">
        <v>2296</v>
      </c>
      <c r="H17" s="67" t="s">
        <v>2297</v>
      </c>
      <c r="I17" s="67" t="s">
        <v>161</v>
      </c>
      <c r="J17" s="67" t="s">
        <v>649</v>
      </c>
      <c r="K17" s="67" t="s">
        <v>161</v>
      </c>
      <c r="L17" s="67" t="s">
        <v>2298</v>
      </c>
      <c r="M17" s="67" t="s">
        <v>2299</v>
      </c>
      <c r="N17" s="67" t="s">
        <v>2299</v>
      </c>
      <c r="O17" s="67" t="s">
        <v>165</v>
      </c>
      <c r="P17" s="67" t="s">
        <v>2300</v>
      </c>
    </row>
    <row r="18" customHeight="1" spans="1:16">
      <c r="A18" s="67" t="s">
        <v>2301</v>
      </c>
      <c r="B18" s="67">
        <v>30.85</v>
      </c>
      <c r="C18" s="67">
        <v>3</v>
      </c>
      <c r="D18" s="67" t="s">
        <v>5197</v>
      </c>
      <c r="E18" s="67" t="s">
        <v>2303</v>
      </c>
      <c r="F18" s="67" t="s">
        <v>12</v>
      </c>
      <c r="G18" s="67" t="s">
        <v>2304</v>
      </c>
      <c r="H18" s="67" t="s">
        <v>2305</v>
      </c>
      <c r="I18" s="67" t="s">
        <v>161</v>
      </c>
      <c r="J18" s="67" t="s">
        <v>649</v>
      </c>
      <c r="K18" s="67" t="s">
        <v>161</v>
      </c>
      <c r="L18" s="67" t="s">
        <v>2306</v>
      </c>
      <c r="M18" s="67" t="s">
        <v>2307</v>
      </c>
      <c r="N18" s="67" t="s">
        <v>2307</v>
      </c>
      <c r="O18" s="67" t="s">
        <v>165</v>
      </c>
      <c r="P18" s="67" t="s">
        <v>2308</v>
      </c>
    </row>
    <row r="19" customHeight="1" spans="1:16">
      <c r="A19" s="67" t="s">
        <v>2317</v>
      </c>
      <c r="B19" s="67">
        <v>84.55</v>
      </c>
      <c r="C19" s="67">
        <v>7</v>
      </c>
      <c r="D19" s="67" t="s">
        <v>5198</v>
      </c>
      <c r="E19" s="67" t="s">
        <v>2319</v>
      </c>
      <c r="F19" s="67" t="s">
        <v>12</v>
      </c>
      <c r="G19" s="67" t="s">
        <v>2320</v>
      </c>
      <c r="H19" s="67" t="s">
        <v>2321</v>
      </c>
      <c r="I19" s="67" t="s">
        <v>161</v>
      </c>
      <c r="J19" s="67" t="s">
        <v>649</v>
      </c>
      <c r="K19" s="67" t="s">
        <v>161</v>
      </c>
      <c r="L19" s="67" t="s">
        <v>2322</v>
      </c>
      <c r="M19" s="67" t="s">
        <v>2323</v>
      </c>
      <c r="N19" s="67" t="s">
        <v>2323</v>
      </c>
      <c r="O19" s="67" t="s">
        <v>165</v>
      </c>
      <c r="P19" s="67" t="s">
        <v>2324</v>
      </c>
    </row>
    <row r="20" customHeight="1" spans="1:16">
      <c r="A20" s="67" t="s">
        <v>2325</v>
      </c>
      <c r="B20" s="67">
        <v>47.8</v>
      </c>
      <c r="C20" s="67">
        <v>4</v>
      </c>
      <c r="D20" s="67" t="s">
        <v>5191</v>
      </c>
      <c r="E20" s="67" t="s">
        <v>2327</v>
      </c>
      <c r="F20" s="67" t="s">
        <v>12</v>
      </c>
      <c r="G20" s="67" t="s">
        <v>2328</v>
      </c>
      <c r="H20" s="67" t="s">
        <v>2329</v>
      </c>
      <c r="I20" s="67" t="s">
        <v>161</v>
      </c>
      <c r="J20" s="67" t="s">
        <v>649</v>
      </c>
      <c r="K20" s="67" t="s">
        <v>161</v>
      </c>
      <c r="L20" s="67" t="s">
        <v>2330</v>
      </c>
      <c r="M20" s="67" t="s">
        <v>2331</v>
      </c>
      <c r="N20" s="67" t="s">
        <v>2331</v>
      </c>
      <c r="O20" s="67" t="s">
        <v>165</v>
      </c>
      <c r="P20" s="67" t="s">
        <v>2332</v>
      </c>
    </row>
    <row r="21" customHeight="1" spans="1:16">
      <c r="A21" s="67" t="s">
        <v>2347</v>
      </c>
      <c r="B21" s="67">
        <v>26.89</v>
      </c>
      <c r="C21" s="67">
        <v>2</v>
      </c>
      <c r="D21" s="67" t="s">
        <v>5192</v>
      </c>
      <c r="E21" s="67" t="s">
        <v>233</v>
      </c>
      <c r="F21" s="67" t="s">
        <v>12</v>
      </c>
      <c r="G21" s="67" t="s">
        <v>2348</v>
      </c>
      <c r="H21" s="67" t="s">
        <v>2349</v>
      </c>
      <c r="I21" s="67" t="s">
        <v>161</v>
      </c>
      <c r="J21" s="67" t="s">
        <v>649</v>
      </c>
      <c r="K21" s="67" t="s">
        <v>161</v>
      </c>
      <c r="L21" s="67" t="s">
        <v>2350</v>
      </c>
      <c r="M21" s="67" t="s">
        <v>2351</v>
      </c>
      <c r="N21" s="67" t="s">
        <v>2351</v>
      </c>
      <c r="O21" s="67" t="s">
        <v>165</v>
      </c>
      <c r="P21" s="67" t="s">
        <v>2352</v>
      </c>
    </row>
    <row r="22" customHeight="1" spans="1:16">
      <c r="A22" s="67" t="s">
        <v>2353</v>
      </c>
      <c r="B22" s="67">
        <v>31.79</v>
      </c>
      <c r="C22" s="67">
        <v>3</v>
      </c>
      <c r="D22" s="67" t="s">
        <v>5193</v>
      </c>
      <c r="E22" s="67" t="s">
        <v>2355</v>
      </c>
      <c r="F22" s="67" t="s">
        <v>12</v>
      </c>
      <c r="G22" s="67" t="s">
        <v>2356</v>
      </c>
      <c r="H22" s="67" t="s">
        <v>2357</v>
      </c>
      <c r="I22" s="67" t="s">
        <v>161</v>
      </c>
      <c r="J22" s="67" t="s">
        <v>649</v>
      </c>
      <c r="K22" s="67" t="s">
        <v>161</v>
      </c>
      <c r="L22" s="67" t="s">
        <v>2358</v>
      </c>
      <c r="M22" s="67" t="s">
        <v>2359</v>
      </c>
      <c r="N22" s="67" t="s">
        <v>2359</v>
      </c>
      <c r="O22" s="67" t="s">
        <v>165</v>
      </c>
      <c r="P22" s="67" t="s">
        <v>2360</v>
      </c>
    </row>
    <row r="23" customHeight="1" spans="1:16">
      <c r="A23" s="67" t="s">
        <v>2361</v>
      </c>
      <c r="B23" s="67">
        <v>35.75</v>
      </c>
      <c r="C23" s="67">
        <v>4</v>
      </c>
      <c r="D23" s="67" t="s">
        <v>5199</v>
      </c>
      <c r="E23" s="67" t="s">
        <v>2363</v>
      </c>
      <c r="F23" s="67" t="s">
        <v>12</v>
      </c>
      <c r="G23" s="67" t="s">
        <v>2364</v>
      </c>
      <c r="H23" s="67" t="s">
        <v>2365</v>
      </c>
      <c r="I23" s="67" t="s">
        <v>161</v>
      </c>
      <c r="J23" s="67" t="s">
        <v>649</v>
      </c>
      <c r="K23" s="67" t="s">
        <v>161</v>
      </c>
      <c r="L23" s="67" t="s">
        <v>2366</v>
      </c>
      <c r="M23" s="67" t="s">
        <v>2367</v>
      </c>
      <c r="N23" s="67" t="s">
        <v>2367</v>
      </c>
      <c r="O23" s="67" t="s">
        <v>165</v>
      </c>
      <c r="P23" s="67" t="s">
        <v>2368</v>
      </c>
    </row>
    <row r="24" customHeight="1" spans="1:16">
      <c r="A24" s="67" t="s">
        <v>2369</v>
      </c>
      <c r="B24" s="67">
        <v>47.8</v>
      </c>
      <c r="C24" s="67">
        <v>4</v>
      </c>
      <c r="D24" s="67" t="s">
        <v>5200</v>
      </c>
      <c r="E24" s="67" t="s">
        <v>586</v>
      </c>
      <c r="F24" s="67" t="s">
        <v>12</v>
      </c>
      <c r="G24" s="67" t="s">
        <v>2371</v>
      </c>
      <c r="H24" s="67" t="s">
        <v>2372</v>
      </c>
      <c r="I24" s="67" t="s">
        <v>161</v>
      </c>
      <c r="J24" s="67" t="s">
        <v>649</v>
      </c>
      <c r="K24" s="67" t="s">
        <v>161</v>
      </c>
      <c r="L24" s="67" t="s">
        <v>2373</v>
      </c>
      <c r="M24" s="67" t="s">
        <v>2374</v>
      </c>
      <c r="N24" s="67" t="s">
        <v>2374</v>
      </c>
      <c r="O24" s="67" t="s">
        <v>165</v>
      </c>
      <c r="P24" s="67" t="s">
        <v>2375</v>
      </c>
    </row>
    <row r="25" customHeight="1" spans="1:16">
      <c r="A25" s="67" t="s">
        <v>2376</v>
      </c>
      <c r="B25" s="67">
        <v>52.7</v>
      </c>
      <c r="C25" s="67">
        <v>5</v>
      </c>
      <c r="D25" s="67" t="s">
        <v>5201</v>
      </c>
      <c r="E25" s="67" t="s">
        <v>2259</v>
      </c>
      <c r="F25" s="67" t="s">
        <v>12</v>
      </c>
      <c r="G25" s="67" t="s">
        <v>2378</v>
      </c>
      <c r="H25" s="67" t="s">
        <v>2379</v>
      </c>
      <c r="I25" s="67" t="s">
        <v>161</v>
      </c>
      <c r="J25" s="67" t="s">
        <v>649</v>
      </c>
      <c r="K25" s="67" t="s">
        <v>161</v>
      </c>
      <c r="L25" s="67" t="s">
        <v>2380</v>
      </c>
      <c r="M25" s="67" t="s">
        <v>2381</v>
      </c>
      <c r="N25" s="67" t="s">
        <v>2381</v>
      </c>
      <c r="O25" s="67" t="s">
        <v>165</v>
      </c>
      <c r="P25" s="67" t="s">
        <v>2382</v>
      </c>
    </row>
    <row r="26" customHeight="1" spans="1:16">
      <c r="A26" s="67" t="s">
        <v>2401</v>
      </c>
      <c r="B26" s="67">
        <v>27.89</v>
      </c>
      <c r="C26" s="67">
        <v>2</v>
      </c>
      <c r="D26" s="67" t="s">
        <v>5202</v>
      </c>
      <c r="E26" s="67" t="s">
        <v>2403</v>
      </c>
      <c r="F26" s="67" t="s">
        <v>12</v>
      </c>
      <c r="G26" s="67" t="s">
        <v>2404</v>
      </c>
      <c r="H26" s="67" t="s">
        <v>2405</v>
      </c>
      <c r="I26" s="67" t="s">
        <v>161</v>
      </c>
      <c r="J26" s="67" t="s">
        <v>649</v>
      </c>
      <c r="K26" s="67" t="s">
        <v>161</v>
      </c>
      <c r="L26" s="67" t="s">
        <v>2406</v>
      </c>
      <c r="M26" s="67" t="s">
        <v>2407</v>
      </c>
      <c r="N26" s="67" t="s">
        <v>2407</v>
      </c>
      <c r="O26" s="67" t="s">
        <v>165</v>
      </c>
      <c r="P26" s="67" t="s">
        <v>2408</v>
      </c>
    </row>
    <row r="27" customHeight="1" spans="1:16">
      <c r="A27" s="67" t="s">
        <v>2417</v>
      </c>
      <c r="B27" s="67">
        <v>30.85</v>
      </c>
      <c r="C27" s="67">
        <v>3</v>
      </c>
      <c r="D27" s="67" t="s">
        <v>5203</v>
      </c>
      <c r="E27" s="67" t="s">
        <v>2419</v>
      </c>
      <c r="F27" s="67" t="s">
        <v>12</v>
      </c>
      <c r="G27" s="67" t="s">
        <v>2420</v>
      </c>
      <c r="H27" s="67" t="s">
        <v>2421</v>
      </c>
      <c r="I27" s="67" t="s">
        <v>161</v>
      </c>
      <c r="J27" s="67" t="s">
        <v>649</v>
      </c>
      <c r="K27" s="67" t="s">
        <v>161</v>
      </c>
      <c r="L27" s="67" t="s">
        <v>2422</v>
      </c>
      <c r="M27" s="67" t="s">
        <v>2423</v>
      </c>
      <c r="N27" s="67" t="s">
        <v>2423</v>
      </c>
      <c r="O27" s="67" t="s">
        <v>165</v>
      </c>
      <c r="P27" s="67" t="s">
        <v>2424</v>
      </c>
    </row>
    <row r="28" customHeight="1" spans="1:16">
      <c r="A28" s="67" t="s">
        <v>2425</v>
      </c>
      <c r="B28" s="67">
        <v>37.8</v>
      </c>
      <c r="C28" s="67">
        <v>4</v>
      </c>
      <c r="D28" s="67" t="s">
        <v>5204</v>
      </c>
      <c r="E28" s="67" t="s">
        <v>1555</v>
      </c>
      <c r="F28" s="67" t="s">
        <v>12</v>
      </c>
      <c r="G28" s="67" t="s">
        <v>2427</v>
      </c>
      <c r="H28" s="67" t="s">
        <v>2428</v>
      </c>
      <c r="I28" s="67" t="s">
        <v>161</v>
      </c>
      <c r="J28" s="67" t="s">
        <v>649</v>
      </c>
      <c r="K28" s="67" t="s">
        <v>161</v>
      </c>
      <c r="L28" s="67" t="s">
        <v>2429</v>
      </c>
      <c r="M28" s="67" t="s">
        <v>2430</v>
      </c>
      <c r="N28" s="67" t="s">
        <v>2430</v>
      </c>
      <c r="O28" s="67" t="s">
        <v>165</v>
      </c>
      <c r="P28" s="67" t="s">
        <v>2431</v>
      </c>
    </row>
    <row r="29" customHeight="1" spans="1:16">
      <c r="A29" s="67" t="s">
        <v>2432</v>
      </c>
      <c r="B29" s="67">
        <v>59.65</v>
      </c>
      <c r="C29" s="67">
        <v>6</v>
      </c>
      <c r="D29" s="67" t="s">
        <v>5205</v>
      </c>
      <c r="E29" s="67" t="s">
        <v>2434</v>
      </c>
      <c r="F29" s="67" t="s">
        <v>12</v>
      </c>
      <c r="G29" s="67" t="s">
        <v>2435</v>
      </c>
      <c r="H29" s="67" t="s">
        <v>2436</v>
      </c>
      <c r="I29" s="67" t="s">
        <v>161</v>
      </c>
      <c r="J29" s="67" t="s">
        <v>649</v>
      </c>
      <c r="K29" s="67" t="s">
        <v>161</v>
      </c>
      <c r="L29" s="67" t="s">
        <v>2437</v>
      </c>
      <c r="M29" s="67" t="s">
        <v>2438</v>
      </c>
      <c r="N29" s="67" t="s">
        <v>2438</v>
      </c>
      <c r="O29" s="67" t="s">
        <v>165</v>
      </c>
      <c r="P29" s="67" t="s">
        <v>2439</v>
      </c>
    </row>
    <row r="30" customHeight="1" spans="1:16">
      <c r="A30" s="67" t="s">
        <v>2448</v>
      </c>
      <c r="B30" s="67">
        <v>27.89</v>
      </c>
      <c r="C30" s="67">
        <v>1</v>
      </c>
      <c r="D30" s="67" t="s">
        <v>5206</v>
      </c>
      <c r="E30" s="67" t="s">
        <v>2450</v>
      </c>
      <c r="F30" s="67" t="s">
        <v>12</v>
      </c>
      <c r="G30" s="67" t="s">
        <v>2451</v>
      </c>
      <c r="H30" s="67" t="s">
        <v>2452</v>
      </c>
      <c r="I30" s="67" t="s">
        <v>161</v>
      </c>
      <c r="J30" s="67" t="s">
        <v>649</v>
      </c>
      <c r="K30" s="67" t="s">
        <v>161</v>
      </c>
      <c r="L30" s="67" t="s">
        <v>2453</v>
      </c>
      <c r="M30" s="67" t="s">
        <v>2454</v>
      </c>
      <c r="N30" s="67" t="s">
        <v>2454</v>
      </c>
      <c r="O30" s="67" t="s">
        <v>165</v>
      </c>
      <c r="P30" s="67" t="s">
        <v>2455</v>
      </c>
    </row>
    <row r="31" customHeight="1" spans="1:16">
      <c r="A31" s="67" t="s">
        <v>2456</v>
      </c>
      <c r="B31" s="67">
        <v>30.85</v>
      </c>
      <c r="C31" s="67">
        <v>3</v>
      </c>
      <c r="D31" s="67" t="s">
        <v>5187</v>
      </c>
      <c r="E31" s="67" t="s">
        <v>247</v>
      </c>
      <c r="F31" s="67" t="s">
        <v>12</v>
      </c>
      <c r="G31" s="67" t="s">
        <v>2457</v>
      </c>
      <c r="H31" s="67" t="s">
        <v>2458</v>
      </c>
      <c r="I31" s="67" t="s">
        <v>161</v>
      </c>
      <c r="J31" s="67" t="s">
        <v>649</v>
      </c>
      <c r="K31" s="67" t="s">
        <v>161</v>
      </c>
      <c r="L31" s="67" t="s">
        <v>2459</v>
      </c>
      <c r="M31" s="67" t="s">
        <v>2460</v>
      </c>
      <c r="N31" s="67" t="s">
        <v>2460</v>
      </c>
      <c r="O31" s="67" t="s">
        <v>165</v>
      </c>
      <c r="P31" s="67" t="s">
        <v>2461</v>
      </c>
    </row>
    <row r="32" customHeight="1" spans="1:16">
      <c r="A32" s="67" t="s">
        <v>2462</v>
      </c>
      <c r="B32" s="67">
        <v>25.7</v>
      </c>
      <c r="C32" s="67">
        <v>2</v>
      </c>
      <c r="D32" s="67" t="s">
        <v>5207</v>
      </c>
      <c r="E32" s="67" t="s">
        <v>814</v>
      </c>
      <c r="F32" s="67" t="s">
        <v>12</v>
      </c>
      <c r="G32" s="67" t="s">
        <v>2464</v>
      </c>
      <c r="H32" s="67" t="s">
        <v>2465</v>
      </c>
      <c r="I32" s="67" t="s">
        <v>161</v>
      </c>
      <c r="J32" s="67" t="s">
        <v>649</v>
      </c>
      <c r="K32" s="67" t="s">
        <v>161</v>
      </c>
      <c r="L32" s="67" t="s">
        <v>2466</v>
      </c>
      <c r="M32" s="67" t="s">
        <v>2467</v>
      </c>
      <c r="N32" s="67" t="s">
        <v>2467</v>
      </c>
      <c r="O32" s="67" t="s">
        <v>165</v>
      </c>
      <c r="P32" s="67" t="s">
        <v>2468</v>
      </c>
    </row>
    <row r="33" customHeight="1" spans="1:16">
      <c r="A33" s="67" t="s">
        <v>2490</v>
      </c>
      <c r="B33" s="67">
        <v>31.79</v>
      </c>
      <c r="C33" s="67">
        <v>3</v>
      </c>
      <c r="D33" s="67" t="s">
        <v>5193</v>
      </c>
      <c r="E33" s="67" t="s">
        <v>2492</v>
      </c>
      <c r="F33" s="67" t="s">
        <v>12</v>
      </c>
      <c r="G33" s="67" t="s">
        <v>2493</v>
      </c>
      <c r="H33" s="67" t="s">
        <v>2494</v>
      </c>
      <c r="I33" s="67" t="s">
        <v>161</v>
      </c>
      <c r="J33" s="67" t="s">
        <v>649</v>
      </c>
      <c r="K33" s="67" t="s">
        <v>161</v>
      </c>
      <c r="L33" s="67" t="s">
        <v>2495</v>
      </c>
      <c r="M33" s="67" t="s">
        <v>2496</v>
      </c>
      <c r="N33" s="67" t="s">
        <v>2496</v>
      </c>
      <c r="O33" s="67" t="s">
        <v>165</v>
      </c>
      <c r="P33" s="67" t="s">
        <v>2497</v>
      </c>
    </row>
    <row r="34" customHeight="1" spans="1:16">
      <c r="A34" s="67" t="s">
        <v>2498</v>
      </c>
      <c r="B34" s="67">
        <v>59.65</v>
      </c>
      <c r="C34" s="67">
        <v>6</v>
      </c>
      <c r="D34" s="67" t="s">
        <v>5208</v>
      </c>
      <c r="E34" s="67" t="s">
        <v>2500</v>
      </c>
      <c r="F34" s="67" t="s">
        <v>12</v>
      </c>
      <c r="G34" s="67" t="s">
        <v>2501</v>
      </c>
      <c r="H34" s="67" t="s">
        <v>2502</v>
      </c>
      <c r="I34" s="67" t="s">
        <v>161</v>
      </c>
      <c r="J34" s="67" t="s">
        <v>649</v>
      </c>
      <c r="K34" s="67" t="s">
        <v>161</v>
      </c>
      <c r="L34" s="67" t="s">
        <v>2503</v>
      </c>
      <c r="M34" s="67" t="s">
        <v>2504</v>
      </c>
      <c r="N34" s="67" t="s">
        <v>2504</v>
      </c>
      <c r="O34" s="67" t="s">
        <v>165</v>
      </c>
      <c r="P34" s="67" t="s">
        <v>2505</v>
      </c>
    </row>
    <row r="35" customHeight="1" spans="1:16">
      <c r="A35" s="67" t="s">
        <v>2506</v>
      </c>
      <c r="B35" s="67">
        <v>26.89</v>
      </c>
      <c r="C35" s="67">
        <v>2</v>
      </c>
      <c r="D35" s="67" t="s">
        <v>5192</v>
      </c>
      <c r="E35" s="67" t="s">
        <v>233</v>
      </c>
      <c r="F35" s="67" t="s">
        <v>12</v>
      </c>
      <c r="G35" s="67" t="s">
        <v>2507</v>
      </c>
      <c r="H35" s="67" t="s">
        <v>2508</v>
      </c>
      <c r="I35" s="67" t="s">
        <v>161</v>
      </c>
      <c r="J35" s="67" t="s">
        <v>649</v>
      </c>
      <c r="K35" s="67" t="s">
        <v>161</v>
      </c>
      <c r="L35" s="67" t="s">
        <v>2509</v>
      </c>
      <c r="M35" s="67" t="s">
        <v>2510</v>
      </c>
      <c r="N35" s="67" t="s">
        <v>2510</v>
      </c>
      <c r="O35" s="67" t="s">
        <v>165</v>
      </c>
      <c r="P35" s="67" t="s">
        <v>2511</v>
      </c>
    </row>
    <row r="36" customHeight="1" spans="1:16">
      <c r="A36" s="67" t="s">
        <v>2528</v>
      </c>
      <c r="B36" s="67">
        <v>65.05</v>
      </c>
      <c r="C36" s="67">
        <v>7</v>
      </c>
      <c r="D36" s="67" t="s">
        <v>5209</v>
      </c>
      <c r="E36" s="67" t="s">
        <v>2530</v>
      </c>
      <c r="F36" s="67" t="s">
        <v>12</v>
      </c>
      <c r="G36" s="67" t="s">
        <v>2531</v>
      </c>
      <c r="H36" s="67" t="s">
        <v>2532</v>
      </c>
      <c r="I36" s="67" t="s">
        <v>161</v>
      </c>
      <c r="J36" s="67" t="s">
        <v>649</v>
      </c>
      <c r="K36" s="67" t="s">
        <v>161</v>
      </c>
      <c r="L36" s="67" t="s">
        <v>2533</v>
      </c>
      <c r="M36" s="67" t="s">
        <v>2534</v>
      </c>
      <c r="N36" s="67" t="s">
        <v>2534</v>
      </c>
      <c r="O36" s="67" t="s">
        <v>165</v>
      </c>
      <c r="P36" s="67" t="s">
        <v>2535</v>
      </c>
    </row>
    <row r="37" customHeight="1" spans="1:16">
      <c r="A37" s="67" t="s">
        <v>2544</v>
      </c>
      <c r="B37" s="67">
        <v>26.89</v>
      </c>
      <c r="C37" s="67">
        <v>2</v>
      </c>
      <c r="D37" s="67" t="s">
        <v>5207</v>
      </c>
      <c r="E37" s="67" t="s">
        <v>2546</v>
      </c>
      <c r="F37" s="67" t="s">
        <v>12</v>
      </c>
      <c r="G37" s="67" t="s">
        <v>2547</v>
      </c>
      <c r="H37" s="67" t="s">
        <v>2548</v>
      </c>
      <c r="I37" s="67" t="s">
        <v>161</v>
      </c>
      <c r="J37" s="67" t="s">
        <v>649</v>
      </c>
      <c r="K37" s="67" t="s">
        <v>161</v>
      </c>
      <c r="L37" s="67" t="s">
        <v>2549</v>
      </c>
      <c r="M37" s="67" t="s">
        <v>2550</v>
      </c>
      <c r="N37" s="67" t="s">
        <v>2550</v>
      </c>
      <c r="O37" s="67" t="s">
        <v>165</v>
      </c>
      <c r="P37" s="67" t="s">
        <v>2551</v>
      </c>
    </row>
    <row r="38" customHeight="1" spans="1:16">
      <c r="A38" s="67" t="s">
        <v>2552</v>
      </c>
      <c r="B38" s="67">
        <v>31.79</v>
      </c>
      <c r="C38" s="67">
        <v>3</v>
      </c>
      <c r="D38" s="67" t="s">
        <v>5210</v>
      </c>
      <c r="E38" s="67" t="s">
        <v>2554</v>
      </c>
      <c r="F38" s="67" t="s">
        <v>12</v>
      </c>
      <c r="G38" s="67" t="s">
        <v>2555</v>
      </c>
      <c r="H38" s="67" t="s">
        <v>2556</v>
      </c>
      <c r="I38" s="67" t="s">
        <v>161</v>
      </c>
      <c r="J38" s="67" t="s">
        <v>649</v>
      </c>
      <c r="K38" s="67" t="s">
        <v>161</v>
      </c>
      <c r="L38" s="67" t="s">
        <v>2557</v>
      </c>
      <c r="M38" s="67" t="s">
        <v>2558</v>
      </c>
      <c r="N38" s="67" t="s">
        <v>2558</v>
      </c>
      <c r="O38" s="67" t="s">
        <v>165</v>
      </c>
      <c r="P38" s="67" t="s">
        <v>2559</v>
      </c>
    </row>
    <row r="39" customHeight="1" spans="1:16">
      <c r="A39" s="67" t="s">
        <v>2560</v>
      </c>
      <c r="B39" s="67">
        <v>47.8</v>
      </c>
      <c r="C39" s="67">
        <v>3</v>
      </c>
      <c r="D39" s="67" t="s">
        <v>5211</v>
      </c>
      <c r="E39" s="67" t="s">
        <v>269</v>
      </c>
      <c r="F39" s="67" t="s">
        <v>12</v>
      </c>
      <c r="G39" s="67" t="s">
        <v>2562</v>
      </c>
      <c r="H39" s="67" t="s">
        <v>2563</v>
      </c>
      <c r="I39" s="67" t="s">
        <v>161</v>
      </c>
      <c r="J39" s="67" t="s">
        <v>649</v>
      </c>
      <c r="K39" s="67" t="s">
        <v>161</v>
      </c>
      <c r="L39" s="67" t="s">
        <v>2564</v>
      </c>
      <c r="M39" s="67" t="s">
        <v>2565</v>
      </c>
      <c r="N39" s="67" t="s">
        <v>2565</v>
      </c>
      <c r="O39" s="67" t="s">
        <v>165</v>
      </c>
      <c r="P39" s="67" t="s">
        <v>2566</v>
      </c>
    </row>
    <row r="40" customHeight="1" spans="1:16">
      <c r="A40" s="67" t="s">
        <v>2567</v>
      </c>
      <c r="B40" s="67">
        <v>26.89</v>
      </c>
      <c r="C40" s="67">
        <v>2</v>
      </c>
      <c r="D40" s="67" t="s">
        <v>5192</v>
      </c>
      <c r="E40" s="67" t="s">
        <v>233</v>
      </c>
      <c r="F40" s="67" t="s">
        <v>12</v>
      </c>
      <c r="G40" s="67" t="s">
        <v>2568</v>
      </c>
      <c r="H40" s="67" t="s">
        <v>2569</v>
      </c>
      <c r="I40" s="67" t="s">
        <v>161</v>
      </c>
      <c r="J40" s="67" t="s">
        <v>649</v>
      </c>
      <c r="K40" s="67" t="s">
        <v>161</v>
      </c>
      <c r="L40" s="67" t="s">
        <v>2570</v>
      </c>
      <c r="M40" s="67" t="s">
        <v>2571</v>
      </c>
      <c r="N40" s="67" t="s">
        <v>2571</v>
      </c>
      <c r="O40" s="67" t="s">
        <v>165</v>
      </c>
      <c r="P40" s="67" t="s">
        <v>2572</v>
      </c>
    </row>
    <row r="41" customHeight="1" spans="1:16">
      <c r="A41" s="67" t="s">
        <v>2573</v>
      </c>
      <c r="B41" s="67">
        <v>47.8</v>
      </c>
      <c r="C41" s="67">
        <v>4</v>
      </c>
      <c r="D41" s="67" t="s">
        <v>5200</v>
      </c>
      <c r="E41" s="67" t="s">
        <v>884</v>
      </c>
      <c r="F41" s="67" t="s">
        <v>12</v>
      </c>
      <c r="G41" s="67" t="s">
        <v>2575</v>
      </c>
      <c r="H41" s="67" t="s">
        <v>2576</v>
      </c>
      <c r="I41" s="67" t="s">
        <v>161</v>
      </c>
      <c r="J41" s="67" t="s">
        <v>649</v>
      </c>
      <c r="K41" s="67" t="s">
        <v>161</v>
      </c>
      <c r="L41" s="67" t="s">
        <v>2577</v>
      </c>
      <c r="M41" s="67" t="s">
        <v>2578</v>
      </c>
      <c r="N41" s="67" t="s">
        <v>2578</v>
      </c>
      <c r="O41" s="67" t="s">
        <v>165</v>
      </c>
      <c r="P41" s="67" t="s">
        <v>2579</v>
      </c>
    </row>
    <row r="42" customHeight="1" spans="1:16">
      <c r="A42" s="67" t="s">
        <v>2593</v>
      </c>
      <c r="B42" s="67">
        <v>26.89</v>
      </c>
      <c r="C42" s="67">
        <v>2</v>
      </c>
      <c r="D42" s="67" t="s">
        <v>5192</v>
      </c>
      <c r="E42" s="67" t="s">
        <v>233</v>
      </c>
      <c r="F42" s="67" t="s">
        <v>12</v>
      </c>
      <c r="G42" s="67" t="s">
        <v>2594</v>
      </c>
      <c r="H42" s="67" t="s">
        <v>2595</v>
      </c>
      <c r="I42" s="67" t="s">
        <v>161</v>
      </c>
      <c r="J42" s="67" t="s">
        <v>649</v>
      </c>
      <c r="K42" s="67" t="s">
        <v>161</v>
      </c>
      <c r="L42" s="67" t="s">
        <v>2596</v>
      </c>
      <c r="M42" s="67" t="s">
        <v>2597</v>
      </c>
      <c r="N42" s="67" t="s">
        <v>2597</v>
      </c>
      <c r="O42" s="67" t="s">
        <v>165</v>
      </c>
      <c r="P42" s="67" t="s">
        <v>2598</v>
      </c>
    </row>
    <row r="43" customHeight="1" spans="1:16">
      <c r="A43" s="67" t="s">
        <v>2599</v>
      </c>
      <c r="B43" s="67">
        <v>47.8</v>
      </c>
      <c r="C43" s="67">
        <v>4</v>
      </c>
      <c r="D43" s="67" t="s">
        <v>5200</v>
      </c>
      <c r="E43" s="67" t="s">
        <v>884</v>
      </c>
      <c r="F43" s="67" t="s">
        <v>12</v>
      </c>
      <c r="G43" s="67" t="s">
        <v>2600</v>
      </c>
      <c r="H43" s="67" t="s">
        <v>2601</v>
      </c>
      <c r="I43" s="67" t="s">
        <v>161</v>
      </c>
      <c r="J43" s="67" t="s">
        <v>649</v>
      </c>
      <c r="K43" s="67" t="s">
        <v>161</v>
      </c>
      <c r="L43" s="67" t="s">
        <v>2602</v>
      </c>
      <c r="M43" s="67" t="s">
        <v>2603</v>
      </c>
      <c r="N43" s="67" t="s">
        <v>2603</v>
      </c>
      <c r="O43" s="67" t="s">
        <v>165</v>
      </c>
      <c r="P43" s="67" t="s">
        <v>2604</v>
      </c>
    </row>
    <row r="44" customHeight="1" spans="1:16">
      <c r="A44" s="67" t="s">
        <v>2605</v>
      </c>
      <c r="B44" s="67">
        <v>35.75</v>
      </c>
      <c r="C44" s="67">
        <v>4</v>
      </c>
      <c r="D44" s="67" t="s">
        <v>5212</v>
      </c>
      <c r="E44" s="67" t="s">
        <v>2607</v>
      </c>
      <c r="F44" s="67" t="s">
        <v>12</v>
      </c>
      <c r="G44" s="67" t="s">
        <v>2608</v>
      </c>
      <c r="H44" s="67" t="s">
        <v>2609</v>
      </c>
      <c r="I44" s="67" t="s">
        <v>161</v>
      </c>
      <c r="J44" s="67" t="s">
        <v>649</v>
      </c>
      <c r="K44" s="67" t="s">
        <v>161</v>
      </c>
      <c r="L44" s="67" t="s">
        <v>2610</v>
      </c>
      <c r="M44" s="67" t="s">
        <v>2611</v>
      </c>
      <c r="N44" s="67" t="s">
        <v>2611</v>
      </c>
      <c r="O44" s="67" t="s">
        <v>165</v>
      </c>
      <c r="P44" s="67" t="s">
        <v>2612</v>
      </c>
    </row>
    <row r="45" customHeight="1" spans="1:16">
      <c r="A45" s="67" t="s">
        <v>2629</v>
      </c>
      <c r="B45" s="67">
        <v>89.45</v>
      </c>
      <c r="C45" s="67">
        <v>8</v>
      </c>
      <c r="D45" s="67" t="s">
        <v>5213</v>
      </c>
      <c r="E45" s="67" t="s">
        <v>2631</v>
      </c>
      <c r="F45" s="67" t="s">
        <v>12</v>
      </c>
      <c r="G45" s="67" t="s">
        <v>2632</v>
      </c>
      <c r="H45" s="67" t="s">
        <v>2633</v>
      </c>
      <c r="I45" s="67" t="s">
        <v>161</v>
      </c>
      <c r="J45" s="67" t="s">
        <v>649</v>
      </c>
      <c r="K45" s="67" t="s">
        <v>161</v>
      </c>
      <c r="L45" s="67" t="s">
        <v>2634</v>
      </c>
      <c r="M45" s="67" t="s">
        <v>2635</v>
      </c>
      <c r="N45" s="67" t="s">
        <v>2635</v>
      </c>
      <c r="O45" s="67" t="s">
        <v>165</v>
      </c>
      <c r="P45" s="67" t="s">
        <v>2636</v>
      </c>
    </row>
    <row r="46" customHeight="1" spans="1:16">
      <c r="A46" s="67" t="s">
        <v>2658</v>
      </c>
      <c r="B46" s="67">
        <v>68.7</v>
      </c>
      <c r="C46" s="67">
        <v>4</v>
      </c>
      <c r="D46" s="67" t="s">
        <v>5214</v>
      </c>
      <c r="E46" s="67" t="s">
        <v>2660</v>
      </c>
      <c r="F46" s="67" t="s">
        <v>12</v>
      </c>
      <c r="G46" s="67" t="s">
        <v>2661</v>
      </c>
      <c r="H46" s="67" t="s">
        <v>2662</v>
      </c>
      <c r="I46" s="67" t="s">
        <v>161</v>
      </c>
      <c r="J46" s="67" t="s">
        <v>649</v>
      </c>
      <c r="K46" s="67" t="s">
        <v>161</v>
      </c>
      <c r="L46" s="67" t="s">
        <v>2663</v>
      </c>
      <c r="M46" s="67" t="s">
        <v>2664</v>
      </c>
      <c r="N46" s="67" t="s">
        <v>2664</v>
      </c>
      <c r="O46" s="67" t="s">
        <v>165</v>
      </c>
      <c r="P46" s="67" t="s">
        <v>2665</v>
      </c>
    </row>
    <row r="47" customHeight="1" spans="1:16">
      <c r="A47" s="67" t="s">
        <v>2666</v>
      </c>
      <c r="B47" s="67">
        <v>26.89</v>
      </c>
      <c r="C47" s="67">
        <v>2</v>
      </c>
      <c r="D47" s="67" t="s">
        <v>5192</v>
      </c>
      <c r="E47" s="67" t="s">
        <v>269</v>
      </c>
      <c r="F47" s="67" t="s">
        <v>12</v>
      </c>
      <c r="G47" s="67" t="s">
        <v>2668</v>
      </c>
      <c r="H47" s="67" t="s">
        <v>2669</v>
      </c>
      <c r="I47" s="67" t="s">
        <v>161</v>
      </c>
      <c r="J47" s="67" t="s">
        <v>649</v>
      </c>
      <c r="K47" s="67" t="s">
        <v>161</v>
      </c>
      <c r="L47" s="67" t="s">
        <v>2670</v>
      </c>
      <c r="M47" s="67" t="s">
        <v>2671</v>
      </c>
      <c r="N47" s="67" t="s">
        <v>2671</v>
      </c>
      <c r="O47" s="67" t="s">
        <v>165</v>
      </c>
      <c r="P47" s="67" t="s">
        <v>2672</v>
      </c>
    </row>
    <row r="48" customHeight="1" spans="1:16">
      <c r="A48" s="67" t="s">
        <v>2673</v>
      </c>
      <c r="B48" s="67">
        <v>26.89</v>
      </c>
      <c r="C48" s="67">
        <v>2</v>
      </c>
      <c r="D48" s="67" t="s">
        <v>5207</v>
      </c>
      <c r="E48" s="67" t="s">
        <v>365</v>
      </c>
      <c r="F48" s="67" t="s">
        <v>12</v>
      </c>
      <c r="G48" s="67" t="s">
        <v>2675</v>
      </c>
      <c r="H48" s="67" t="s">
        <v>2676</v>
      </c>
      <c r="I48" s="67" t="s">
        <v>161</v>
      </c>
      <c r="J48" s="67" t="s">
        <v>649</v>
      </c>
      <c r="K48" s="67" t="s">
        <v>161</v>
      </c>
      <c r="L48" s="67" t="s">
        <v>2677</v>
      </c>
      <c r="M48" s="67" t="s">
        <v>2678</v>
      </c>
      <c r="N48" s="67" t="s">
        <v>2678</v>
      </c>
      <c r="O48" s="67" t="s">
        <v>165</v>
      </c>
      <c r="P48" s="67" t="s">
        <v>2679</v>
      </c>
    </row>
    <row r="49" customHeight="1" spans="1:16">
      <c r="A49" s="67" t="s">
        <v>2680</v>
      </c>
      <c r="B49" s="67">
        <v>26.89</v>
      </c>
      <c r="C49" s="67">
        <v>2</v>
      </c>
      <c r="D49" s="67" t="s">
        <v>5192</v>
      </c>
      <c r="E49" s="67" t="s">
        <v>317</v>
      </c>
      <c r="F49" s="67" t="s">
        <v>12</v>
      </c>
      <c r="G49" s="67" t="s">
        <v>2682</v>
      </c>
      <c r="H49" s="67" t="s">
        <v>2683</v>
      </c>
      <c r="I49" s="67" t="s">
        <v>161</v>
      </c>
      <c r="J49" s="67" t="s">
        <v>649</v>
      </c>
      <c r="K49" s="67" t="s">
        <v>161</v>
      </c>
      <c r="L49" s="67" t="s">
        <v>2684</v>
      </c>
      <c r="M49" s="67" t="s">
        <v>2685</v>
      </c>
      <c r="N49" s="67" t="s">
        <v>2685</v>
      </c>
      <c r="O49" s="67" t="s">
        <v>165</v>
      </c>
      <c r="P49" s="67" t="s">
        <v>2686</v>
      </c>
    </row>
    <row r="50" customHeight="1" spans="1:16">
      <c r="A50" s="67" t="s">
        <v>2687</v>
      </c>
      <c r="B50" s="67">
        <v>52.7</v>
      </c>
      <c r="C50" s="67">
        <v>5</v>
      </c>
      <c r="D50" s="67" t="s">
        <v>5215</v>
      </c>
      <c r="E50" s="67" t="s">
        <v>2689</v>
      </c>
      <c r="F50" s="67" t="s">
        <v>12</v>
      </c>
      <c r="G50" s="67" t="s">
        <v>2690</v>
      </c>
      <c r="H50" s="67" t="s">
        <v>2691</v>
      </c>
      <c r="I50" s="67" t="s">
        <v>161</v>
      </c>
      <c r="J50" s="67" t="s">
        <v>649</v>
      </c>
      <c r="K50" s="67" t="s">
        <v>161</v>
      </c>
      <c r="L50" s="67" t="s">
        <v>2692</v>
      </c>
      <c r="M50" s="67" t="s">
        <v>2693</v>
      </c>
      <c r="N50" s="67" t="s">
        <v>2693</v>
      </c>
      <c r="O50" s="67" t="s">
        <v>165</v>
      </c>
      <c r="P50" s="67" t="s">
        <v>2694</v>
      </c>
    </row>
    <row r="51" customHeight="1" spans="1:16">
      <c r="A51" s="67" t="s">
        <v>2695</v>
      </c>
      <c r="B51" s="67">
        <v>26.89</v>
      </c>
      <c r="C51" s="67">
        <v>2</v>
      </c>
      <c r="D51" s="67" t="s">
        <v>5192</v>
      </c>
      <c r="E51" s="67" t="s">
        <v>269</v>
      </c>
      <c r="F51" s="67" t="s">
        <v>12</v>
      </c>
      <c r="G51" s="67" t="s">
        <v>2696</v>
      </c>
      <c r="H51" s="67" t="s">
        <v>2697</v>
      </c>
      <c r="I51" s="67" t="s">
        <v>161</v>
      </c>
      <c r="J51" s="67" t="s">
        <v>649</v>
      </c>
      <c r="K51" s="67" t="s">
        <v>161</v>
      </c>
      <c r="L51" s="67" t="s">
        <v>2698</v>
      </c>
      <c r="M51" s="67" t="s">
        <v>2699</v>
      </c>
      <c r="N51" s="67" t="s">
        <v>2699</v>
      </c>
      <c r="O51" s="67" t="s">
        <v>165</v>
      </c>
      <c r="P51" s="67" t="s">
        <v>2700</v>
      </c>
    </row>
    <row r="52" customHeight="1" spans="1:16">
      <c r="A52" s="67" t="s">
        <v>2721</v>
      </c>
      <c r="B52" s="67">
        <v>57.6</v>
      </c>
      <c r="C52" s="67">
        <v>6</v>
      </c>
      <c r="D52" s="67" t="s">
        <v>5216</v>
      </c>
      <c r="E52" s="67" t="s">
        <v>2723</v>
      </c>
      <c r="F52" s="67" t="s">
        <v>12</v>
      </c>
      <c r="G52" s="67" t="s">
        <v>2724</v>
      </c>
      <c r="H52" s="67" t="s">
        <v>2725</v>
      </c>
      <c r="I52" s="67" t="s">
        <v>161</v>
      </c>
      <c r="J52" s="67" t="s">
        <v>649</v>
      </c>
      <c r="K52" s="67" t="s">
        <v>161</v>
      </c>
      <c r="L52" s="67" t="s">
        <v>2726</v>
      </c>
      <c r="M52" s="67" t="s">
        <v>2727</v>
      </c>
      <c r="N52" s="67" t="s">
        <v>2727</v>
      </c>
      <c r="O52" s="67" t="s">
        <v>165</v>
      </c>
      <c r="P52" s="67" t="s">
        <v>2728</v>
      </c>
    </row>
    <row r="53" customHeight="1" spans="1:16">
      <c r="A53" s="67" t="s">
        <v>2729</v>
      </c>
      <c r="B53" s="67">
        <v>84.35</v>
      </c>
      <c r="C53" s="67">
        <v>10</v>
      </c>
      <c r="D53" s="67" t="s">
        <v>5217</v>
      </c>
      <c r="E53" s="67" t="s">
        <v>2731</v>
      </c>
      <c r="F53" s="67" t="s">
        <v>12</v>
      </c>
      <c r="G53" s="67" t="s">
        <v>2732</v>
      </c>
      <c r="H53" s="67" t="s">
        <v>2733</v>
      </c>
      <c r="I53" s="67" t="s">
        <v>161</v>
      </c>
      <c r="J53" s="67" t="s">
        <v>649</v>
      </c>
      <c r="K53" s="67" t="s">
        <v>161</v>
      </c>
      <c r="L53" s="67" t="s">
        <v>2734</v>
      </c>
      <c r="M53" s="67" t="s">
        <v>2735</v>
      </c>
      <c r="N53" s="67" t="s">
        <v>2735</v>
      </c>
      <c r="O53" s="67" t="s">
        <v>165</v>
      </c>
      <c r="P53" s="67" t="s">
        <v>2736</v>
      </c>
    </row>
    <row r="54" customHeight="1" spans="1:16">
      <c r="A54" s="67" t="s">
        <v>2750</v>
      </c>
      <c r="B54" s="67">
        <v>43.8</v>
      </c>
      <c r="C54" s="67">
        <v>3</v>
      </c>
      <c r="D54" s="67" t="s">
        <v>5218</v>
      </c>
      <c r="E54" s="67" t="s">
        <v>2752</v>
      </c>
      <c r="F54" s="67" t="s">
        <v>12</v>
      </c>
      <c r="G54" s="67" t="s">
        <v>2753</v>
      </c>
      <c r="H54" s="67" t="s">
        <v>2754</v>
      </c>
      <c r="I54" s="67" t="s">
        <v>161</v>
      </c>
      <c r="J54" s="67" t="s">
        <v>649</v>
      </c>
      <c r="K54" s="67" t="s">
        <v>161</v>
      </c>
      <c r="L54" s="67" t="s">
        <v>2755</v>
      </c>
      <c r="M54" s="67" t="s">
        <v>2756</v>
      </c>
      <c r="N54" s="67" t="s">
        <v>2756</v>
      </c>
      <c r="O54" s="67" t="s">
        <v>165</v>
      </c>
      <c r="P54" s="67" t="s">
        <v>2757</v>
      </c>
    </row>
    <row r="55" customHeight="1" spans="1:16">
      <c r="A55" s="67" t="s">
        <v>2766</v>
      </c>
      <c r="B55" s="67">
        <v>26.89</v>
      </c>
      <c r="C55" s="67">
        <v>2</v>
      </c>
      <c r="D55" s="67" t="s">
        <v>5192</v>
      </c>
      <c r="E55" s="67" t="s">
        <v>357</v>
      </c>
      <c r="F55" s="67" t="s">
        <v>12</v>
      </c>
      <c r="G55" s="67" t="s">
        <v>2767</v>
      </c>
      <c r="H55" s="67" t="s">
        <v>2768</v>
      </c>
      <c r="I55" s="67" t="s">
        <v>161</v>
      </c>
      <c r="J55" s="67" t="s">
        <v>649</v>
      </c>
      <c r="K55" s="67" t="s">
        <v>161</v>
      </c>
      <c r="L55" s="67" t="s">
        <v>2769</v>
      </c>
      <c r="M55" s="67" t="s">
        <v>2770</v>
      </c>
      <c r="N55" s="67" t="s">
        <v>2770</v>
      </c>
      <c r="O55" s="67" t="s">
        <v>165</v>
      </c>
      <c r="P55" s="67" t="s">
        <v>2771</v>
      </c>
    </row>
    <row r="56" customHeight="1" spans="1:16">
      <c r="A56" s="67" t="s">
        <v>2787</v>
      </c>
      <c r="B56" s="67">
        <v>26.89</v>
      </c>
      <c r="C56" s="67">
        <v>2</v>
      </c>
      <c r="D56" s="67" t="s">
        <v>5192</v>
      </c>
      <c r="E56" s="67" t="s">
        <v>546</v>
      </c>
      <c r="F56" s="67" t="s">
        <v>12</v>
      </c>
      <c r="G56" s="67" t="s">
        <v>2789</v>
      </c>
      <c r="H56" s="67" t="s">
        <v>2790</v>
      </c>
      <c r="I56" s="67" t="s">
        <v>161</v>
      </c>
      <c r="J56" s="67" t="s">
        <v>649</v>
      </c>
      <c r="K56" s="67" t="s">
        <v>161</v>
      </c>
      <c r="L56" s="67" t="s">
        <v>2791</v>
      </c>
      <c r="M56" s="67" t="s">
        <v>2792</v>
      </c>
      <c r="N56" s="67" t="s">
        <v>2792</v>
      </c>
      <c r="O56" s="67" t="s">
        <v>165</v>
      </c>
      <c r="P56" s="67" t="s">
        <v>2793</v>
      </c>
    </row>
    <row r="57" customHeight="1" spans="1:16">
      <c r="A57" s="67" t="s">
        <v>2808</v>
      </c>
      <c r="B57" s="67">
        <v>38.3</v>
      </c>
      <c r="C57" s="67">
        <v>3</v>
      </c>
      <c r="D57" s="67" t="s">
        <v>5187</v>
      </c>
      <c r="E57" s="67" t="s">
        <v>247</v>
      </c>
      <c r="F57" s="67" t="s">
        <v>12</v>
      </c>
      <c r="G57" s="67" t="s">
        <v>2809</v>
      </c>
      <c r="H57" s="67" t="s">
        <v>2810</v>
      </c>
      <c r="I57" s="67" t="s">
        <v>161</v>
      </c>
      <c r="J57" s="67" t="s">
        <v>649</v>
      </c>
      <c r="K57" s="67" t="s">
        <v>161</v>
      </c>
      <c r="L57" s="67" t="s">
        <v>2811</v>
      </c>
      <c r="M57" s="67" t="s">
        <v>2812</v>
      </c>
      <c r="N57" s="67" t="s">
        <v>2812</v>
      </c>
      <c r="O57" s="67" t="s">
        <v>165</v>
      </c>
      <c r="P57" s="67" t="s">
        <v>2813</v>
      </c>
    </row>
    <row r="58" customHeight="1" spans="1:16">
      <c r="A58" s="67" t="s">
        <v>2814</v>
      </c>
      <c r="B58" s="67">
        <v>38.9</v>
      </c>
      <c r="C58" s="67">
        <v>2</v>
      </c>
      <c r="D58" s="67" t="s">
        <v>5219</v>
      </c>
      <c r="E58" s="67" t="s">
        <v>2816</v>
      </c>
      <c r="F58" s="67" t="s">
        <v>12</v>
      </c>
      <c r="G58" s="67" t="s">
        <v>1283</v>
      </c>
      <c r="H58" s="67" t="s">
        <v>2817</v>
      </c>
      <c r="I58" s="67" t="s">
        <v>161</v>
      </c>
      <c r="J58" s="67" t="s">
        <v>649</v>
      </c>
      <c r="K58" s="67" t="s">
        <v>161</v>
      </c>
      <c r="L58" s="67" t="s">
        <v>1285</v>
      </c>
      <c r="M58" s="67" t="s">
        <v>2818</v>
      </c>
      <c r="N58" s="67" t="s">
        <v>2818</v>
      </c>
      <c r="O58" s="67" t="s">
        <v>165</v>
      </c>
      <c r="P58" s="67" t="s">
        <v>2819</v>
      </c>
    </row>
    <row r="59" customHeight="1" spans="1:16">
      <c r="A59" s="67" t="s">
        <v>2820</v>
      </c>
      <c r="B59" s="67">
        <v>26.89</v>
      </c>
      <c r="C59" s="67">
        <v>2</v>
      </c>
      <c r="D59" s="67" t="s">
        <v>5192</v>
      </c>
      <c r="E59" s="67" t="s">
        <v>269</v>
      </c>
      <c r="F59" s="67" t="s">
        <v>12</v>
      </c>
      <c r="G59" s="67" t="s">
        <v>2821</v>
      </c>
      <c r="H59" s="67" t="s">
        <v>2822</v>
      </c>
      <c r="I59" s="67" t="s">
        <v>161</v>
      </c>
      <c r="J59" s="67" t="s">
        <v>649</v>
      </c>
      <c r="K59" s="67" t="s">
        <v>161</v>
      </c>
      <c r="L59" s="67" t="s">
        <v>2823</v>
      </c>
      <c r="M59" s="67" t="s">
        <v>2824</v>
      </c>
      <c r="N59" s="67" t="s">
        <v>2824</v>
      </c>
      <c r="O59" s="67" t="s">
        <v>165</v>
      </c>
      <c r="P59" s="67" t="s">
        <v>2825</v>
      </c>
    </row>
    <row r="60" customHeight="1" spans="1:16">
      <c r="A60" s="67" t="s">
        <v>2826</v>
      </c>
      <c r="B60" s="67">
        <v>26.89</v>
      </c>
      <c r="C60" s="67">
        <v>2</v>
      </c>
      <c r="D60" s="67" t="s">
        <v>5192</v>
      </c>
      <c r="E60" s="67" t="s">
        <v>233</v>
      </c>
      <c r="F60" s="67" t="s">
        <v>12</v>
      </c>
      <c r="G60" s="67" t="s">
        <v>2827</v>
      </c>
      <c r="H60" s="67" t="s">
        <v>2828</v>
      </c>
      <c r="I60" s="67" t="s">
        <v>161</v>
      </c>
      <c r="J60" s="67" t="s">
        <v>649</v>
      </c>
      <c r="K60" s="67" t="s">
        <v>161</v>
      </c>
      <c r="L60" s="67" t="s">
        <v>2829</v>
      </c>
      <c r="M60" s="67" t="s">
        <v>2830</v>
      </c>
      <c r="N60" s="67" t="s">
        <v>2830</v>
      </c>
      <c r="O60" s="67" t="s">
        <v>165</v>
      </c>
      <c r="P60" s="67" t="s">
        <v>2831</v>
      </c>
    </row>
    <row r="61" customHeight="1" spans="1:16">
      <c r="A61" s="67" t="s">
        <v>2832</v>
      </c>
      <c r="B61" s="67">
        <v>40.65</v>
      </c>
      <c r="C61" s="67">
        <v>5</v>
      </c>
      <c r="D61" s="67" t="s">
        <v>5220</v>
      </c>
      <c r="E61" s="67" t="s">
        <v>2834</v>
      </c>
      <c r="F61" s="67" t="s">
        <v>12</v>
      </c>
      <c r="G61" s="67" t="s">
        <v>2835</v>
      </c>
      <c r="H61" s="67" t="s">
        <v>2836</v>
      </c>
      <c r="I61" s="67" t="s">
        <v>161</v>
      </c>
      <c r="J61" s="67" t="s">
        <v>649</v>
      </c>
      <c r="K61" s="67" t="s">
        <v>161</v>
      </c>
      <c r="L61" s="67" t="s">
        <v>2837</v>
      </c>
      <c r="M61" s="67" t="s">
        <v>2838</v>
      </c>
      <c r="N61" s="67" t="s">
        <v>2838</v>
      </c>
      <c r="O61" s="67" t="s">
        <v>165</v>
      </c>
      <c r="P61" s="67" t="s">
        <v>2839</v>
      </c>
    </row>
    <row r="62" customHeight="1" spans="1:16">
      <c r="A62" s="67" t="s">
        <v>2853</v>
      </c>
      <c r="B62" s="67">
        <v>47.8</v>
      </c>
      <c r="C62" s="67">
        <v>4</v>
      </c>
      <c r="D62" s="67" t="s">
        <v>5221</v>
      </c>
      <c r="E62" s="67" t="s">
        <v>2855</v>
      </c>
      <c r="F62" s="67" t="s">
        <v>12</v>
      </c>
      <c r="G62" s="67" t="s">
        <v>2856</v>
      </c>
      <c r="H62" s="67" t="s">
        <v>2857</v>
      </c>
      <c r="I62" s="67" t="s">
        <v>161</v>
      </c>
      <c r="J62" s="67" t="s">
        <v>649</v>
      </c>
      <c r="K62" s="67" t="s">
        <v>161</v>
      </c>
      <c r="L62" s="67" t="s">
        <v>2858</v>
      </c>
      <c r="M62" s="67" t="s">
        <v>2859</v>
      </c>
      <c r="N62" s="67" t="s">
        <v>2859</v>
      </c>
      <c r="O62" s="67" t="s">
        <v>165</v>
      </c>
      <c r="P62" s="67" t="s">
        <v>2860</v>
      </c>
    </row>
    <row r="63" customHeight="1" spans="1:16">
      <c r="A63" s="67" t="s">
        <v>2876</v>
      </c>
      <c r="B63" s="67">
        <v>26.89</v>
      </c>
      <c r="C63" s="67">
        <v>2</v>
      </c>
      <c r="D63" s="67" t="s">
        <v>5192</v>
      </c>
      <c r="E63" s="67" t="s">
        <v>233</v>
      </c>
      <c r="F63" s="67" t="s">
        <v>12</v>
      </c>
      <c r="G63" s="67" t="s">
        <v>2877</v>
      </c>
      <c r="H63" s="67" t="s">
        <v>2878</v>
      </c>
      <c r="I63" s="67" t="s">
        <v>161</v>
      </c>
      <c r="J63" s="67" t="s">
        <v>649</v>
      </c>
      <c r="K63" s="67" t="s">
        <v>161</v>
      </c>
      <c r="L63" s="67" t="s">
        <v>2879</v>
      </c>
      <c r="M63" s="67" t="s">
        <v>2880</v>
      </c>
      <c r="N63" s="67" t="s">
        <v>2880</v>
      </c>
      <c r="O63" s="67" t="s">
        <v>165</v>
      </c>
      <c r="P63" s="67" t="s">
        <v>2881</v>
      </c>
    </row>
    <row r="64" customHeight="1" spans="1:16">
      <c r="A64" s="67" t="s">
        <v>2882</v>
      </c>
      <c r="B64" s="67">
        <v>26.89</v>
      </c>
      <c r="C64" s="67">
        <v>2</v>
      </c>
      <c r="D64" s="67" t="s">
        <v>5192</v>
      </c>
      <c r="E64" s="67" t="s">
        <v>317</v>
      </c>
      <c r="F64" s="67" t="s">
        <v>12</v>
      </c>
      <c r="G64" s="67" t="s">
        <v>2883</v>
      </c>
      <c r="H64" s="67" t="s">
        <v>2884</v>
      </c>
      <c r="I64" s="67" t="s">
        <v>161</v>
      </c>
      <c r="J64" s="67" t="s">
        <v>649</v>
      </c>
      <c r="K64" s="67" t="s">
        <v>161</v>
      </c>
      <c r="L64" s="67" t="s">
        <v>2885</v>
      </c>
      <c r="M64" s="67" t="s">
        <v>2886</v>
      </c>
      <c r="N64" s="67" t="s">
        <v>2886</v>
      </c>
      <c r="O64" s="67" t="s">
        <v>165</v>
      </c>
      <c r="P64" s="67" t="s">
        <v>2887</v>
      </c>
    </row>
    <row r="65" customHeight="1" spans="1:16">
      <c r="A65" s="67" t="s">
        <v>2912</v>
      </c>
      <c r="B65" s="67">
        <v>38.9</v>
      </c>
      <c r="C65" s="67">
        <v>1</v>
      </c>
      <c r="D65" s="67" t="s">
        <v>5222</v>
      </c>
      <c r="E65" s="67" t="s">
        <v>2914</v>
      </c>
      <c r="F65" s="67" t="s">
        <v>12</v>
      </c>
      <c r="G65" s="67" t="s">
        <v>2915</v>
      </c>
      <c r="H65" s="67" t="s">
        <v>2916</v>
      </c>
      <c r="I65" s="67" t="s">
        <v>161</v>
      </c>
      <c r="J65" s="67" t="s">
        <v>161</v>
      </c>
      <c r="K65" s="67" t="s">
        <v>161</v>
      </c>
      <c r="L65" s="67" t="s">
        <v>2917</v>
      </c>
      <c r="M65" s="67" t="s">
        <v>2918</v>
      </c>
      <c r="N65" s="67" t="s">
        <v>2918</v>
      </c>
      <c r="O65" s="67" t="s">
        <v>165</v>
      </c>
      <c r="P65" s="67" t="s">
        <v>2919</v>
      </c>
    </row>
    <row r="66" customHeight="1" spans="1:16">
      <c r="A66" s="67" t="s">
        <v>2920</v>
      </c>
      <c r="B66" s="67">
        <v>30.85</v>
      </c>
      <c r="C66" s="67">
        <v>3</v>
      </c>
      <c r="D66" s="67" t="s">
        <v>5187</v>
      </c>
      <c r="E66" s="67" t="s">
        <v>2922</v>
      </c>
      <c r="F66" s="67" t="s">
        <v>12</v>
      </c>
      <c r="G66" s="67" t="s">
        <v>2923</v>
      </c>
      <c r="H66" s="67" t="s">
        <v>2924</v>
      </c>
      <c r="I66" s="67" t="s">
        <v>161</v>
      </c>
      <c r="J66" s="67" t="s">
        <v>161</v>
      </c>
      <c r="K66" s="67" t="s">
        <v>161</v>
      </c>
      <c r="L66" s="67" t="s">
        <v>2925</v>
      </c>
      <c r="M66" s="67" t="s">
        <v>2926</v>
      </c>
      <c r="N66" s="67" t="s">
        <v>2926</v>
      </c>
      <c r="O66" s="67" t="s">
        <v>165</v>
      </c>
      <c r="P66" s="67" t="s">
        <v>2927</v>
      </c>
    </row>
    <row r="67" customHeight="1" spans="1:16">
      <c r="A67" s="67" t="s">
        <v>2936</v>
      </c>
      <c r="B67" s="67">
        <v>47.8</v>
      </c>
      <c r="C67" s="67">
        <v>4</v>
      </c>
      <c r="D67" s="67" t="s">
        <v>5223</v>
      </c>
      <c r="E67" s="67" t="s">
        <v>2938</v>
      </c>
      <c r="F67" s="67" t="s">
        <v>12</v>
      </c>
      <c r="G67" s="67" t="s">
        <v>2939</v>
      </c>
      <c r="H67" s="67" t="s">
        <v>2940</v>
      </c>
      <c r="I67" s="67" t="s">
        <v>161</v>
      </c>
      <c r="J67" s="67" t="s">
        <v>161</v>
      </c>
      <c r="K67" s="67" t="s">
        <v>161</v>
      </c>
      <c r="L67" s="67" t="s">
        <v>2941</v>
      </c>
      <c r="M67" s="67" t="s">
        <v>2942</v>
      </c>
      <c r="N67" s="67" t="s">
        <v>2942</v>
      </c>
      <c r="O67" s="67" t="s">
        <v>165</v>
      </c>
      <c r="P67" s="67" t="s">
        <v>2943</v>
      </c>
    </row>
    <row r="68" customHeight="1" spans="1:16">
      <c r="A68" s="67" t="s">
        <v>2944</v>
      </c>
      <c r="B68" s="67">
        <v>47.8</v>
      </c>
      <c r="C68" s="67">
        <v>4</v>
      </c>
      <c r="D68" s="67" t="s">
        <v>5223</v>
      </c>
      <c r="E68" s="67" t="s">
        <v>2946</v>
      </c>
      <c r="F68" s="67" t="s">
        <v>12</v>
      </c>
      <c r="G68" s="67" t="s">
        <v>2947</v>
      </c>
      <c r="H68" s="67" t="s">
        <v>2948</v>
      </c>
      <c r="I68" s="67" t="s">
        <v>161</v>
      </c>
      <c r="J68" s="67" t="s">
        <v>161</v>
      </c>
      <c r="K68" s="67" t="s">
        <v>161</v>
      </c>
      <c r="L68" s="67" t="s">
        <v>2949</v>
      </c>
      <c r="M68" s="67" t="s">
        <v>2950</v>
      </c>
      <c r="N68" s="67" t="s">
        <v>2950</v>
      </c>
      <c r="O68" s="67" t="s">
        <v>165</v>
      </c>
      <c r="P68" s="67" t="s">
        <v>2951</v>
      </c>
    </row>
    <row r="69" customHeight="1" spans="1:16">
      <c r="A69" s="67" t="s">
        <v>2958</v>
      </c>
      <c r="B69" s="67">
        <v>72.7</v>
      </c>
      <c r="C69" s="67">
        <v>5</v>
      </c>
      <c r="D69" s="67" t="s">
        <v>5224</v>
      </c>
      <c r="E69" s="67" t="s">
        <v>2960</v>
      </c>
      <c r="F69" s="67" t="s">
        <v>12</v>
      </c>
      <c r="G69" s="67" t="s">
        <v>2961</v>
      </c>
      <c r="H69" s="67" t="s">
        <v>2962</v>
      </c>
      <c r="I69" s="67" t="s">
        <v>161</v>
      </c>
      <c r="J69" s="67" t="s">
        <v>161</v>
      </c>
      <c r="K69" s="67" t="s">
        <v>161</v>
      </c>
      <c r="L69" s="67" t="s">
        <v>2963</v>
      </c>
      <c r="M69" s="67" t="s">
        <v>2964</v>
      </c>
      <c r="N69" s="67" t="s">
        <v>2964</v>
      </c>
      <c r="O69" s="67" t="s">
        <v>165</v>
      </c>
      <c r="P69" s="67" t="s">
        <v>2965</v>
      </c>
    </row>
    <row r="70" customHeight="1" spans="1:16">
      <c r="A70" s="67" t="s">
        <v>2966</v>
      </c>
      <c r="B70" s="67">
        <v>31.79</v>
      </c>
      <c r="C70" s="67">
        <v>3</v>
      </c>
      <c r="D70" s="67" t="s">
        <v>5193</v>
      </c>
      <c r="E70" s="67" t="s">
        <v>2478</v>
      </c>
      <c r="F70" s="67" t="s">
        <v>12</v>
      </c>
      <c r="G70" s="67" t="s">
        <v>2968</v>
      </c>
      <c r="H70" s="67" t="s">
        <v>2969</v>
      </c>
      <c r="I70" s="67" t="s">
        <v>161</v>
      </c>
      <c r="J70" s="67" t="s">
        <v>161</v>
      </c>
      <c r="K70" s="67" t="s">
        <v>161</v>
      </c>
      <c r="L70" s="67" t="s">
        <v>2970</v>
      </c>
      <c r="M70" s="67" t="s">
        <v>2971</v>
      </c>
      <c r="N70" s="67" t="s">
        <v>2971</v>
      </c>
      <c r="O70" s="67" t="s">
        <v>165</v>
      </c>
      <c r="P70" s="67" t="s">
        <v>2972</v>
      </c>
    </row>
    <row r="71" customHeight="1" spans="1:16">
      <c r="A71" s="67" t="s">
        <v>2973</v>
      </c>
      <c r="B71" s="67">
        <v>59.65</v>
      </c>
      <c r="C71" s="67">
        <v>6</v>
      </c>
      <c r="D71" s="67" t="s">
        <v>5225</v>
      </c>
      <c r="E71" s="67" t="s">
        <v>2975</v>
      </c>
      <c r="F71" s="67" t="s">
        <v>12</v>
      </c>
      <c r="G71" s="67" t="s">
        <v>2976</v>
      </c>
      <c r="H71" s="67" t="s">
        <v>2977</v>
      </c>
      <c r="I71" s="67" t="s">
        <v>161</v>
      </c>
      <c r="J71" s="67" t="s">
        <v>161</v>
      </c>
      <c r="K71" s="67" t="s">
        <v>161</v>
      </c>
      <c r="L71" s="67" t="s">
        <v>2978</v>
      </c>
      <c r="M71" s="67" t="s">
        <v>2979</v>
      </c>
      <c r="N71" s="67" t="s">
        <v>2979</v>
      </c>
      <c r="O71" s="67" t="s">
        <v>165</v>
      </c>
      <c r="P71" s="67" t="s">
        <v>2980</v>
      </c>
    </row>
    <row r="72" customHeight="1" spans="1:16">
      <c r="A72" s="67" t="s">
        <v>2988</v>
      </c>
      <c r="B72" s="67">
        <v>34.34</v>
      </c>
      <c r="C72" s="67">
        <v>2</v>
      </c>
      <c r="D72" s="67" t="s">
        <v>5192</v>
      </c>
      <c r="E72" s="67" t="s">
        <v>317</v>
      </c>
      <c r="F72" s="67" t="s">
        <v>12</v>
      </c>
      <c r="G72" s="67" t="s">
        <v>2989</v>
      </c>
      <c r="H72" s="67" t="s">
        <v>2990</v>
      </c>
      <c r="I72" s="67" t="s">
        <v>161</v>
      </c>
      <c r="J72" s="67" t="s">
        <v>161</v>
      </c>
      <c r="K72" s="67" t="s">
        <v>161</v>
      </c>
      <c r="L72" s="67" t="s">
        <v>2991</v>
      </c>
      <c r="M72" s="67" t="s">
        <v>2992</v>
      </c>
      <c r="N72" s="67" t="s">
        <v>2992</v>
      </c>
      <c r="O72" s="67" t="s">
        <v>165</v>
      </c>
      <c r="P72" s="67" t="s">
        <v>2993</v>
      </c>
    </row>
    <row r="73" customHeight="1" spans="1:16">
      <c r="A73" s="67" t="s">
        <v>2994</v>
      </c>
      <c r="B73" s="67">
        <v>63.75</v>
      </c>
      <c r="C73" s="67">
        <v>7</v>
      </c>
      <c r="D73" s="67" t="s">
        <v>5226</v>
      </c>
      <c r="E73" s="67" t="s">
        <v>2996</v>
      </c>
      <c r="F73" s="67" t="s">
        <v>12</v>
      </c>
      <c r="G73" s="67" t="s">
        <v>2997</v>
      </c>
      <c r="H73" s="67" t="s">
        <v>2998</v>
      </c>
      <c r="I73" s="67" t="s">
        <v>161</v>
      </c>
      <c r="J73" s="67" t="s">
        <v>161</v>
      </c>
      <c r="K73" s="67" t="s">
        <v>161</v>
      </c>
      <c r="L73" s="67" t="s">
        <v>2999</v>
      </c>
      <c r="M73" s="67" t="s">
        <v>3000</v>
      </c>
      <c r="N73" s="67" t="s">
        <v>3000</v>
      </c>
      <c r="O73" s="67" t="s">
        <v>165</v>
      </c>
      <c r="P73" s="67" t="s">
        <v>3001</v>
      </c>
    </row>
    <row r="74" customHeight="1" spans="1:16">
      <c r="A74" s="67" t="s">
        <v>3002</v>
      </c>
      <c r="B74" s="67">
        <v>43.02</v>
      </c>
      <c r="C74" s="67">
        <v>4</v>
      </c>
      <c r="D74" s="67" t="s">
        <v>5191</v>
      </c>
      <c r="E74" s="67" t="s">
        <v>3004</v>
      </c>
      <c r="F74" s="67" t="s">
        <v>12</v>
      </c>
      <c r="G74" s="67" t="s">
        <v>3005</v>
      </c>
      <c r="H74" s="67" t="s">
        <v>3006</v>
      </c>
      <c r="I74" s="67" t="s">
        <v>161</v>
      </c>
      <c r="J74" s="67" t="s">
        <v>161</v>
      </c>
      <c r="K74" s="67" t="s">
        <v>161</v>
      </c>
      <c r="L74" s="67" t="s">
        <v>3007</v>
      </c>
      <c r="M74" s="67" t="s">
        <v>3008</v>
      </c>
      <c r="N74" s="67" t="s">
        <v>3008</v>
      </c>
      <c r="O74" s="67" t="s">
        <v>165</v>
      </c>
      <c r="P74" s="67" t="s">
        <v>3009</v>
      </c>
    </row>
    <row r="75" customHeight="1" spans="1:16">
      <c r="A75" s="67" t="s">
        <v>3018</v>
      </c>
      <c r="B75" s="67">
        <v>31.79</v>
      </c>
      <c r="C75" s="67">
        <v>3</v>
      </c>
      <c r="D75" s="67" t="s">
        <v>5193</v>
      </c>
      <c r="E75" s="67" t="s">
        <v>2122</v>
      </c>
      <c r="F75" s="67" t="s">
        <v>12</v>
      </c>
      <c r="G75" s="67" t="s">
        <v>3019</v>
      </c>
      <c r="H75" s="67" t="s">
        <v>3020</v>
      </c>
      <c r="I75" s="67" t="s">
        <v>161</v>
      </c>
      <c r="J75" s="67" t="s">
        <v>161</v>
      </c>
      <c r="K75" s="67" t="s">
        <v>161</v>
      </c>
      <c r="L75" s="67" t="s">
        <v>3021</v>
      </c>
      <c r="M75" s="67" t="s">
        <v>3022</v>
      </c>
      <c r="N75" s="67" t="s">
        <v>3022</v>
      </c>
      <c r="O75" s="67" t="s">
        <v>165</v>
      </c>
      <c r="P75" s="67" t="s">
        <v>3023</v>
      </c>
    </row>
    <row r="76" customHeight="1" spans="1:16">
      <c r="A76" s="67" t="s">
        <v>3024</v>
      </c>
      <c r="B76" s="67">
        <v>26.89</v>
      </c>
      <c r="C76" s="67">
        <v>2</v>
      </c>
      <c r="D76" s="67" t="s">
        <v>5192</v>
      </c>
      <c r="E76" s="67" t="s">
        <v>269</v>
      </c>
      <c r="F76" s="67" t="s">
        <v>12</v>
      </c>
      <c r="G76" s="67" t="s">
        <v>3025</v>
      </c>
      <c r="H76" s="67" t="s">
        <v>3026</v>
      </c>
      <c r="I76" s="67" t="s">
        <v>161</v>
      </c>
      <c r="J76" s="67" t="s">
        <v>161</v>
      </c>
      <c r="K76" s="67" t="s">
        <v>161</v>
      </c>
      <c r="L76" s="67" t="s">
        <v>3027</v>
      </c>
      <c r="M76" s="67" t="s">
        <v>3028</v>
      </c>
      <c r="N76" s="67" t="s">
        <v>3028</v>
      </c>
      <c r="O76" s="67" t="s">
        <v>165</v>
      </c>
      <c r="P76" s="67" t="s">
        <v>3029</v>
      </c>
    </row>
    <row r="77" customHeight="1" spans="1:16">
      <c r="A77" s="67" t="s">
        <v>3052</v>
      </c>
      <c r="B77" s="67">
        <v>47.8</v>
      </c>
      <c r="C77" s="67">
        <v>3</v>
      </c>
      <c r="D77" s="67" t="s">
        <v>5211</v>
      </c>
      <c r="E77" s="67" t="s">
        <v>317</v>
      </c>
      <c r="F77" s="67" t="s">
        <v>12</v>
      </c>
      <c r="G77" s="67" t="s">
        <v>3054</v>
      </c>
      <c r="H77" s="67" t="s">
        <v>3055</v>
      </c>
      <c r="I77" s="67" t="s">
        <v>161</v>
      </c>
      <c r="J77" s="67" t="s">
        <v>161</v>
      </c>
      <c r="K77" s="67" t="s">
        <v>161</v>
      </c>
      <c r="L77" s="67" t="s">
        <v>3056</v>
      </c>
      <c r="M77" s="67" t="s">
        <v>3057</v>
      </c>
      <c r="N77" s="67" t="s">
        <v>3057</v>
      </c>
      <c r="O77" s="67" t="s">
        <v>165</v>
      </c>
      <c r="P77" s="67" t="s">
        <v>3058</v>
      </c>
    </row>
    <row r="78" customHeight="1" spans="1:16">
      <c r="A78" s="67" t="s">
        <v>3059</v>
      </c>
      <c r="B78" s="67">
        <v>26.89</v>
      </c>
      <c r="C78" s="67">
        <v>2</v>
      </c>
      <c r="D78" s="67" t="s">
        <v>5207</v>
      </c>
      <c r="E78" s="67" t="s">
        <v>2546</v>
      </c>
      <c r="F78" s="67" t="s">
        <v>12</v>
      </c>
      <c r="G78" s="67" t="s">
        <v>3060</v>
      </c>
      <c r="H78" s="67" t="s">
        <v>3061</v>
      </c>
      <c r="I78" s="67" t="s">
        <v>161</v>
      </c>
      <c r="J78" s="67" t="s">
        <v>161</v>
      </c>
      <c r="K78" s="67" t="s">
        <v>161</v>
      </c>
      <c r="L78" s="67" t="s">
        <v>3062</v>
      </c>
      <c r="M78" s="67" t="s">
        <v>3063</v>
      </c>
      <c r="N78" s="67" t="s">
        <v>3063</v>
      </c>
      <c r="O78" s="67" t="s">
        <v>165</v>
      </c>
      <c r="P78" s="67" t="s">
        <v>3064</v>
      </c>
    </row>
    <row r="79" customHeight="1" spans="1:16">
      <c r="A79" s="67" t="s">
        <v>3104</v>
      </c>
      <c r="B79" s="67">
        <v>35.75</v>
      </c>
      <c r="C79" s="67">
        <v>4</v>
      </c>
      <c r="D79" s="67" t="s">
        <v>5227</v>
      </c>
      <c r="E79" s="67" t="s">
        <v>3106</v>
      </c>
      <c r="F79" s="67" t="s">
        <v>12</v>
      </c>
      <c r="G79" s="67" t="s">
        <v>3107</v>
      </c>
      <c r="H79" s="67" t="s">
        <v>3108</v>
      </c>
      <c r="I79" s="67" t="s">
        <v>161</v>
      </c>
      <c r="J79" s="67" t="s">
        <v>161</v>
      </c>
      <c r="K79" s="67" t="s">
        <v>161</v>
      </c>
      <c r="L79" s="67" t="s">
        <v>3109</v>
      </c>
      <c r="M79" s="67" t="s">
        <v>3110</v>
      </c>
      <c r="N79" s="67" t="s">
        <v>3110</v>
      </c>
      <c r="O79" s="67" t="s">
        <v>165</v>
      </c>
      <c r="P79" s="67" t="s">
        <v>3111</v>
      </c>
    </row>
    <row r="80" customHeight="1" spans="1:16">
      <c r="A80" s="67" t="s">
        <v>3112</v>
      </c>
      <c r="B80" s="67">
        <v>35.75</v>
      </c>
      <c r="C80" s="67">
        <v>4</v>
      </c>
      <c r="D80" s="67" t="s">
        <v>5212</v>
      </c>
      <c r="E80" s="67" t="s">
        <v>3114</v>
      </c>
      <c r="F80" s="67" t="s">
        <v>12</v>
      </c>
      <c r="G80" s="67" t="s">
        <v>3115</v>
      </c>
      <c r="H80" s="67" t="s">
        <v>3116</v>
      </c>
      <c r="I80" s="67" t="s">
        <v>161</v>
      </c>
      <c r="J80" s="67" t="s">
        <v>161</v>
      </c>
      <c r="K80" s="67" t="s">
        <v>161</v>
      </c>
      <c r="L80" s="67" t="s">
        <v>3117</v>
      </c>
      <c r="M80" s="67" t="s">
        <v>3118</v>
      </c>
      <c r="N80" s="67" t="s">
        <v>3118</v>
      </c>
      <c r="O80" s="67" t="s">
        <v>165</v>
      </c>
      <c r="P80" s="67" t="s">
        <v>3119</v>
      </c>
    </row>
    <row r="81" customHeight="1" spans="1:16">
      <c r="A81" s="67" t="s">
        <v>3120</v>
      </c>
      <c r="B81" s="67">
        <v>43.2</v>
      </c>
      <c r="C81" s="67">
        <v>4</v>
      </c>
      <c r="D81" s="67" t="s">
        <v>5189</v>
      </c>
      <c r="E81" s="67" t="s">
        <v>3122</v>
      </c>
      <c r="F81" s="67" t="s">
        <v>12</v>
      </c>
      <c r="G81" s="67" t="s">
        <v>3123</v>
      </c>
      <c r="H81" s="67" t="s">
        <v>3124</v>
      </c>
      <c r="I81" s="67" t="s">
        <v>161</v>
      </c>
      <c r="J81" s="67" t="s">
        <v>161</v>
      </c>
      <c r="K81" s="67" t="s">
        <v>161</v>
      </c>
      <c r="L81" s="67" t="s">
        <v>3125</v>
      </c>
      <c r="M81" s="67" t="s">
        <v>3126</v>
      </c>
      <c r="N81" s="67" t="s">
        <v>3126</v>
      </c>
      <c r="O81" s="67" t="s">
        <v>165</v>
      </c>
      <c r="P81" s="67" t="s">
        <v>3127</v>
      </c>
    </row>
    <row r="82" customHeight="1" spans="1:16">
      <c r="A82" s="67" t="s">
        <v>3128</v>
      </c>
      <c r="B82" s="67">
        <v>59.65</v>
      </c>
      <c r="C82" s="67">
        <v>6</v>
      </c>
      <c r="D82" s="67" t="s">
        <v>5228</v>
      </c>
      <c r="E82" s="67" t="s">
        <v>3130</v>
      </c>
      <c r="F82" s="67" t="s">
        <v>12</v>
      </c>
      <c r="G82" s="67" t="s">
        <v>3131</v>
      </c>
      <c r="H82" s="67" t="s">
        <v>3132</v>
      </c>
      <c r="I82" s="67" t="s">
        <v>161</v>
      </c>
      <c r="J82" s="67" t="s">
        <v>161</v>
      </c>
      <c r="K82" s="67" t="s">
        <v>161</v>
      </c>
      <c r="L82" s="67" t="s">
        <v>3133</v>
      </c>
      <c r="M82" s="67" t="s">
        <v>3134</v>
      </c>
      <c r="N82" s="67" t="s">
        <v>3134</v>
      </c>
      <c r="O82" s="67" t="s">
        <v>165</v>
      </c>
      <c r="P82" s="67" t="s">
        <v>3135</v>
      </c>
    </row>
    <row r="83" customHeight="1" spans="1:16">
      <c r="A83" s="67" t="s">
        <v>3150</v>
      </c>
      <c r="B83" s="67">
        <v>26.89</v>
      </c>
      <c r="C83" s="67">
        <v>2</v>
      </c>
      <c r="D83" s="67" t="s">
        <v>5192</v>
      </c>
      <c r="E83" s="67" t="s">
        <v>317</v>
      </c>
      <c r="F83" s="67" t="s">
        <v>12</v>
      </c>
      <c r="G83" s="67" t="s">
        <v>3151</v>
      </c>
      <c r="H83" s="67" t="s">
        <v>3152</v>
      </c>
      <c r="I83" s="67" t="s">
        <v>161</v>
      </c>
      <c r="J83" s="67" t="s">
        <v>161</v>
      </c>
      <c r="K83" s="67" t="s">
        <v>161</v>
      </c>
      <c r="L83" s="67" t="s">
        <v>3153</v>
      </c>
      <c r="M83" s="67" t="s">
        <v>3154</v>
      </c>
      <c r="N83" s="67" t="s">
        <v>3154</v>
      </c>
      <c r="O83" s="67" t="s">
        <v>165</v>
      </c>
      <c r="P83" s="67" t="s">
        <v>3155</v>
      </c>
    </row>
    <row r="84" customHeight="1" spans="1:16">
      <c r="A84" s="67" t="s">
        <v>3156</v>
      </c>
      <c r="B84" s="67">
        <v>26.89</v>
      </c>
      <c r="C84" s="67">
        <v>2</v>
      </c>
      <c r="D84" s="67" t="s">
        <v>5192</v>
      </c>
      <c r="E84" s="67" t="s">
        <v>233</v>
      </c>
      <c r="F84" s="67" t="s">
        <v>12</v>
      </c>
      <c r="G84" s="67" t="s">
        <v>3157</v>
      </c>
      <c r="H84" s="67" t="s">
        <v>3158</v>
      </c>
      <c r="I84" s="67" t="s">
        <v>161</v>
      </c>
      <c r="J84" s="67" t="s">
        <v>161</v>
      </c>
      <c r="K84" s="67" t="s">
        <v>161</v>
      </c>
      <c r="L84" s="67" t="s">
        <v>3159</v>
      </c>
      <c r="M84" s="67" t="s">
        <v>3160</v>
      </c>
      <c r="N84" s="67" t="s">
        <v>3160</v>
      </c>
      <c r="O84" s="67" t="s">
        <v>165</v>
      </c>
      <c r="P84" s="67" t="s">
        <v>3161</v>
      </c>
    </row>
    <row r="85" customHeight="1" spans="1:16">
      <c r="A85" s="67" t="s">
        <v>3170</v>
      </c>
      <c r="B85" s="67">
        <v>26.89</v>
      </c>
      <c r="C85" s="67">
        <v>2</v>
      </c>
      <c r="D85" s="67" t="s">
        <v>5192</v>
      </c>
      <c r="E85" s="67" t="s">
        <v>317</v>
      </c>
      <c r="F85" s="67" t="s">
        <v>12</v>
      </c>
      <c r="G85" s="67" t="s">
        <v>3171</v>
      </c>
      <c r="H85" s="67" t="s">
        <v>3172</v>
      </c>
      <c r="I85" s="67" t="s">
        <v>161</v>
      </c>
      <c r="J85" s="67" t="s">
        <v>161</v>
      </c>
      <c r="K85" s="67" t="s">
        <v>161</v>
      </c>
      <c r="L85" s="67" t="s">
        <v>3173</v>
      </c>
      <c r="M85" s="67" t="s">
        <v>3174</v>
      </c>
      <c r="N85" s="67" t="s">
        <v>3174</v>
      </c>
      <c r="O85" s="67" t="s">
        <v>165</v>
      </c>
      <c r="P85" s="67" t="s">
        <v>3175</v>
      </c>
    </row>
    <row r="86" customHeight="1" spans="1:16">
      <c r="A86" s="67" t="s">
        <v>3184</v>
      </c>
      <c r="B86" s="67">
        <v>21.79</v>
      </c>
      <c r="C86" s="67">
        <v>3</v>
      </c>
      <c r="D86" s="67" t="s">
        <v>5229</v>
      </c>
      <c r="E86" s="67" t="s">
        <v>1918</v>
      </c>
      <c r="F86" s="67" t="s">
        <v>12</v>
      </c>
      <c r="G86" s="67" t="s">
        <v>3186</v>
      </c>
      <c r="H86" s="67" t="s">
        <v>3187</v>
      </c>
      <c r="I86" s="67" t="s">
        <v>161</v>
      </c>
      <c r="J86" s="67" t="s">
        <v>161</v>
      </c>
      <c r="K86" s="67" t="s">
        <v>161</v>
      </c>
      <c r="L86" s="67" t="s">
        <v>3188</v>
      </c>
      <c r="M86" s="67" t="s">
        <v>3189</v>
      </c>
      <c r="N86" s="67" t="s">
        <v>3189</v>
      </c>
      <c r="O86" s="67" t="s">
        <v>165</v>
      </c>
      <c r="P86" s="67" t="s">
        <v>3190</v>
      </c>
    </row>
    <row r="87" customHeight="1" spans="1:16">
      <c r="A87" s="67" t="s">
        <v>3199</v>
      </c>
      <c r="B87" s="67">
        <v>26.89</v>
      </c>
      <c r="C87" s="67">
        <v>2</v>
      </c>
      <c r="D87" s="67" t="s">
        <v>5192</v>
      </c>
      <c r="E87" s="67" t="s">
        <v>269</v>
      </c>
      <c r="F87" s="67" t="s">
        <v>12</v>
      </c>
      <c r="G87" s="67" t="s">
        <v>3200</v>
      </c>
      <c r="H87" s="67" t="s">
        <v>3201</v>
      </c>
      <c r="I87" s="67" t="s">
        <v>161</v>
      </c>
      <c r="J87" s="67" t="s">
        <v>161</v>
      </c>
      <c r="K87" s="67" t="s">
        <v>161</v>
      </c>
      <c r="L87" s="67" t="s">
        <v>3202</v>
      </c>
      <c r="M87" s="67" t="s">
        <v>3203</v>
      </c>
      <c r="N87" s="67" t="s">
        <v>3203</v>
      </c>
      <c r="O87" s="67" t="s">
        <v>165</v>
      </c>
      <c r="P87" s="67" t="s">
        <v>3204</v>
      </c>
    </row>
    <row r="88" customHeight="1" spans="1:16">
      <c r="A88" s="67" t="s">
        <v>3205</v>
      </c>
      <c r="B88" s="67">
        <v>26.89</v>
      </c>
      <c r="C88" s="67">
        <v>2</v>
      </c>
      <c r="D88" s="67" t="s">
        <v>5192</v>
      </c>
      <c r="E88" s="67" t="s">
        <v>254</v>
      </c>
      <c r="F88" s="67" t="s">
        <v>12</v>
      </c>
      <c r="G88" s="67" t="s">
        <v>3207</v>
      </c>
      <c r="H88" s="67" t="s">
        <v>3208</v>
      </c>
      <c r="I88" s="67" t="s">
        <v>161</v>
      </c>
      <c r="J88" s="67" t="s">
        <v>161</v>
      </c>
      <c r="K88" s="67" t="s">
        <v>161</v>
      </c>
      <c r="L88" s="67" t="s">
        <v>3209</v>
      </c>
      <c r="M88" s="67" t="s">
        <v>3210</v>
      </c>
      <c r="N88" s="67" t="s">
        <v>3210</v>
      </c>
      <c r="O88" s="67" t="s">
        <v>165</v>
      </c>
      <c r="P88" s="67" t="s">
        <v>3211</v>
      </c>
    </row>
    <row r="89" customHeight="1" spans="1:16">
      <c r="A89" s="67" t="s">
        <v>3239</v>
      </c>
      <c r="B89" s="67">
        <v>31.79</v>
      </c>
      <c r="C89" s="67">
        <v>3</v>
      </c>
      <c r="D89" s="67" t="s">
        <v>5193</v>
      </c>
      <c r="E89" s="67" t="s">
        <v>2122</v>
      </c>
      <c r="F89" s="67" t="s">
        <v>12</v>
      </c>
      <c r="G89" s="67" t="s">
        <v>3240</v>
      </c>
      <c r="H89" s="67" t="s">
        <v>3241</v>
      </c>
      <c r="I89" s="67" t="s">
        <v>161</v>
      </c>
      <c r="J89" s="67" t="s">
        <v>161</v>
      </c>
      <c r="K89" s="67" t="s">
        <v>161</v>
      </c>
      <c r="L89" s="67" t="s">
        <v>3242</v>
      </c>
      <c r="M89" s="67" t="s">
        <v>3243</v>
      </c>
      <c r="N89" s="67" t="s">
        <v>3243</v>
      </c>
      <c r="O89" s="67" t="s">
        <v>165</v>
      </c>
      <c r="P89" s="67" t="s">
        <v>3244</v>
      </c>
    </row>
    <row r="90" customHeight="1" spans="1:16">
      <c r="A90" s="67" t="s">
        <v>3253</v>
      </c>
      <c r="B90" s="67">
        <v>57.6</v>
      </c>
      <c r="C90" s="67">
        <v>7</v>
      </c>
      <c r="D90" s="67" t="s">
        <v>5230</v>
      </c>
      <c r="E90" s="67" t="s">
        <v>3255</v>
      </c>
      <c r="F90" s="67" t="s">
        <v>12</v>
      </c>
      <c r="G90" s="67" t="s">
        <v>3256</v>
      </c>
      <c r="H90" s="67" t="s">
        <v>3257</v>
      </c>
      <c r="I90" s="67" t="s">
        <v>161</v>
      </c>
      <c r="J90" s="67" t="s">
        <v>161</v>
      </c>
      <c r="K90" s="67" t="s">
        <v>161</v>
      </c>
      <c r="L90" s="67" t="s">
        <v>3258</v>
      </c>
      <c r="M90" s="67" t="s">
        <v>3259</v>
      </c>
      <c r="N90" s="67" t="s">
        <v>3259</v>
      </c>
      <c r="O90" s="67" t="s">
        <v>165</v>
      </c>
      <c r="P90" s="67" t="s">
        <v>3260</v>
      </c>
    </row>
    <row r="91" customHeight="1" spans="1:16">
      <c r="A91" s="67" t="s">
        <v>3261</v>
      </c>
      <c r="B91" s="67">
        <v>23.32</v>
      </c>
      <c r="C91" s="67">
        <v>2</v>
      </c>
      <c r="D91" s="67" t="s">
        <v>5231</v>
      </c>
      <c r="E91" s="67" t="s">
        <v>3263</v>
      </c>
      <c r="F91" s="67" t="s">
        <v>12</v>
      </c>
      <c r="G91" s="67" t="s">
        <v>3264</v>
      </c>
      <c r="H91" s="67" t="s">
        <v>3265</v>
      </c>
      <c r="I91" s="67" t="s">
        <v>161</v>
      </c>
      <c r="J91" s="67" t="s">
        <v>161</v>
      </c>
      <c r="K91" s="67" t="s">
        <v>3266</v>
      </c>
      <c r="L91" s="67" t="s">
        <v>3267</v>
      </c>
      <c r="M91" s="67" t="s">
        <v>3268</v>
      </c>
      <c r="N91" s="67" t="s">
        <v>3268</v>
      </c>
      <c r="O91" s="67" t="s">
        <v>165</v>
      </c>
      <c r="P91" s="67" t="s">
        <v>3269</v>
      </c>
    </row>
    <row r="92" customHeight="1" spans="1:16">
      <c r="A92" s="67" t="s">
        <v>3286</v>
      </c>
      <c r="B92" s="67">
        <v>52.7</v>
      </c>
      <c r="C92" s="67">
        <v>5</v>
      </c>
      <c r="D92" s="67" t="s">
        <v>5232</v>
      </c>
      <c r="E92" s="67" t="s">
        <v>3288</v>
      </c>
      <c r="F92" s="67" t="s">
        <v>12</v>
      </c>
      <c r="G92" s="67" t="s">
        <v>3289</v>
      </c>
      <c r="H92" s="67" t="s">
        <v>3290</v>
      </c>
      <c r="I92" s="67" t="s">
        <v>161</v>
      </c>
      <c r="J92" s="67" t="s">
        <v>649</v>
      </c>
      <c r="K92" s="67" t="s">
        <v>161</v>
      </c>
      <c r="L92" s="67" t="s">
        <v>3291</v>
      </c>
      <c r="M92" s="67" t="s">
        <v>3292</v>
      </c>
      <c r="N92" s="67" t="s">
        <v>3292</v>
      </c>
      <c r="O92" s="67" t="s">
        <v>165</v>
      </c>
      <c r="P92" s="67" t="s">
        <v>3293</v>
      </c>
    </row>
    <row r="93" customHeight="1" spans="1:16">
      <c r="A93" s="67" t="s">
        <v>3294</v>
      </c>
      <c r="B93" s="67">
        <v>47.8</v>
      </c>
      <c r="C93" s="67">
        <v>4</v>
      </c>
      <c r="D93" s="67" t="s">
        <v>5233</v>
      </c>
      <c r="E93" s="67" t="s">
        <v>3296</v>
      </c>
      <c r="F93" s="67" t="s">
        <v>12</v>
      </c>
      <c r="G93" s="67" t="s">
        <v>3297</v>
      </c>
      <c r="H93" s="67" t="s">
        <v>3298</v>
      </c>
      <c r="I93" s="67" t="s">
        <v>161</v>
      </c>
      <c r="J93" s="67" t="s">
        <v>649</v>
      </c>
      <c r="K93" s="67" t="s">
        <v>161</v>
      </c>
      <c r="L93" s="67" t="s">
        <v>3299</v>
      </c>
      <c r="M93" s="67" t="s">
        <v>3300</v>
      </c>
      <c r="N93" s="67" t="s">
        <v>3300</v>
      </c>
      <c r="O93" s="67" t="s">
        <v>165</v>
      </c>
      <c r="P93" s="67" t="s">
        <v>3301</v>
      </c>
    </row>
    <row r="94" customHeight="1" spans="1:16">
      <c r="A94" s="67" t="s">
        <v>3310</v>
      </c>
      <c r="B94" s="67">
        <v>52.7</v>
      </c>
      <c r="C94" s="67">
        <v>5</v>
      </c>
      <c r="D94" s="67" t="s">
        <v>5234</v>
      </c>
      <c r="E94" s="67" t="s">
        <v>3312</v>
      </c>
      <c r="F94" s="67" t="s">
        <v>12</v>
      </c>
      <c r="G94" s="67" t="s">
        <v>3313</v>
      </c>
      <c r="H94" s="67" t="s">
        <v>3314</v>
      </c>
      <c r="I94" s="67" t="s">
        <v>161</v>
      </c>
      <c r="J94" s="67" t="s">
        <v>649</v>
      </c>
      <c r="K94" s="67" t="s">
        <v>161</v>
      </c>
      <c r="L94" s="67" t="s">
        <v>3315</v>
      </c>
      <c r="M94" s="67" t="s">
        <v>3316</v>
      </c>
      <c r="N94" s="67" t="s">
        <v>3316</v>
      </c>
      <c r="O94" s="67" t="s">
        <v>165</v>
      </c>
      <c r="P94" s="67" t="s">
        <v>3317</v>
      </c>
    </row>
    <row r="95" customHeight="1" spans="1:16">
      <c r="A95" s="67" t="s">
        <v>3334</v>
      </c>
      <c r="B95" s="67">
        <v>54.75</v>
      </c>
      <c r="C95" s="67">
        <v>5</v>
      </c>
      <c r="D95" s="67" t="s">
        <v>5235</v>
      </c>
      <c r="E95" s="67" t="s">
        <v>3336</v>
      </c>
      <c r="F95" s="67" t="s">
        <v>12</v>
      </c>
      <c r="G95" s="67" t="s">
        <v>3337</v>
      </c>
      <c r="H95" s="67" t="s">
        <v>3338</v>
      </c>
      <c r="I95" s="67" t="s">
        <v>161</v>
      </c>
      <c r="J95" s="67" t="s">
        <v>649</v>
      </c>
      <c r="K95" s="67" t="s">
        <v>161</v>
      </c>
      <c r="L95" s="67" t="s">
        <v>3339</v>
      </c>
      <c r="M95" s="67" t="s">
        <v>3340</v>
      </c>
      <c r="N95" s="67" t="s">
        <v>3340</v>
      </c>
      <c r="O95" s="67" t="s">
        <v>165</v>
      </c>
      <c r="P95" s="67" t="s">
        <v>3341</v>
      </c>
    </row>
    <row r="96" customHeight="1" spans="1:16">
      <c r="A96" s="67" t="s">
        <v>3342</v>
      </c>
      <c r="B96" s="67">
        <v>47.8</v>
      </c>
      <c r="C96" s="67">
        <v>4</v>
      </c>
      <c r="D96" s="67" t="s">
        <v>5236</v>
      </c>
      <c r="E96" s="67" t="s">
        <v>3344</v>
      </c>
      <c r="F96" s="67" t="s">
        <v>12</v>
      </c>
      <c r="G96" s="67" t="s">
        <v>3345</v>
      </c>
      <c r="H96" s="67" t="s">
        <v>3346</v>
      </c>
      <c r="I96" s="67" t="s">
        <v>161</v>
      </c>
      <c r="J96" s="67" t="s">
        <v>649</v>
      </c>
      <c r="K96" s="67" t="s">
        <v>161</v>
      </c>
      <c r="L96" s="67" t="s">
        <v>3347</v>
      </c>
      <c r="M96" s="67" t="s">
        <v>3348</v>
      </c>
      <c r="N96" s="67" t="s">
        <v>3348</v>
      </c>
      <c r="O96" s="67" t="s">
        <v>165</v>
      </c>
      <c r="P96" s="67" t="s">
        <v>3349</v>
      </c>
    </row>
    <row r="97" customHeight="1" spans="1:16">
      <c r="A97" s="67" t="s">
        <v>3359</v>
      </c>
      <c r="B97" s="67">
        <v>52.7</v>
      </c>
      <c r="C97" s="67">
        <v>5</v>
      </c>
      <c r="D97" s="67" t="s">
        <v>5237</v>
      </c>
      <c r="E97" s="67" t="s">
        <v>3361</v>
      </c>
      <c r="F97" s="67" t="s">
        <v>12</v>
      </c>
      <c r="G97" s="67" t="s">
        <v>3362</v>
      </c>
      <c r="H97" s="67" t="s">
        <v>3363</v>
      </c>
      <c r="I97" s="67" t="s">
        <v>161</v>
      </c>
      <c r="J97" s="67" t="s">
        <v>649</v>
      </c>
      <c r="K97" s="67" t="s">
        <v>161</v>
      </c>
      <c r="L97" s="67" t="s">
        <v>3364</v>
      </c>
      <c r="M97" s="67" t="s">
        <v>3365</v>
      </c>
      <c r="N97" s="67" t="s">
        <v>3365</v>
      </c>
      <c r="O97" s="67" t="s">
        <v>165</v>
      </c>
      <c r="P97" s="67" t="s">
        <v>3366</v>
      </c>
    </row>
    <row r="98" customHeight="1" spans="1:16">
      <c r="A98" s="67" t="s">
        <v>3367</v>
      </c>
      <c r="B98" s="67">
        <v>30.85</v>
      </c>
      <c r="C98" s="67">
        <v>3</v>
      </c>
      <c r="D98" s="67" t="s">
        <v>5238</v>
      </c>
      <c r="E98" s="67" t="s">
        <v>3369</v>
      </c>
      <c r="F98" s="67" t="s">
        <v>12</v>
      </c>
      <c r="G98" s="67" t="s">
        <v>3370</v>
      </c>
      <c r="H98" s="67" t="s">
        <v>3371</v>
      </c>
      <c r="I98" s="67" t="s">
        <v>161</v>
      </c>
      <c r="J98" s="67" t="s">
        <v>649</v>
      </c>
      <c r="K98" s="67" t="s">
        <v>161</v>
      </c>
      <c r="L98" s="67" t="s">
        <v>3372</v>
      </c>
      <c r="M98" s="67" t="s">
        <v>3373</v>
      </c>
      <c r="N98" s="67" t="s">
        <v>3373</v>
      </c>
      <c r="O98" s="67" t="s">
        <v>165</v>
      </c>
      <c r="P98" s="67" t="s">
        <v>3374</v>
      </c>
    </row>
    <row r="99" customHeight="1" spans="1:16">
      <c r="A99" s="67" t="s">
        <v>3375</v>
      </c>
      <c r="B99" s="67">
        <v>35.75</v>
      </c>
      <c r="C99" s="67">
        <v>4</v>
      </c>
      <c r="D99" s="67" t="s">
        <v>5239</v>
      </c>
      <c r="E99" s="67" t="s">
        <v>3377</v>
      </c>
      <c r="F99" s="67" t="s">
        <v>12</v>
      </c>
      <c r="G99" s="67" t="s">
        <v>3378</v>
      </c>
      <c r="H99" s="67" t="s">
        <v>3379</v>
      </c>
      <c r="I99" s="67" t="s">
        <v>161</v>
      </c>
      <c r="J99" s="67" t="s">
        <v>649</v>
      </c>
      <c r="K99" s="67" t="s">
        <v>161</v>
      </c>
      <c r="L99" s="67" t="s">
        <v>3380</v>
      </c>
      <c r="M99" s="67" t="s">
        <v>3381</v>
      </c>
      <c r="N99" s="67" t="s">
        <v>3381</v>
      </c>
      <c r="O99" s="67" t="s">
        <v>165</v>
      </c>
      <c r="P99" s="67" t="s">
        <v>3382</v>
      </c>
    </row>
    <row r="100" customHeight="1" spans="1:16">
      <c r="A100" s="67" t="s">
        <v>3383</v>
      </c>
      <c r="B100" s="67">
        <v>47.8</v>
      </c>
      <c r="C100" s="67">
        <v>4</v>
      </c>
      <c r="D100" s="67" t="s">
        <v>5233</v>
      </c>
      <c r="E100" s="67" t="s">
        <v>3296</v>
      </c>
      <c r="F100" s="67" t="s">
        <v>12</v>
      </c>
      <c r="G100" s="67" t="s">
        <v>3384</v>
      </c>
      <c r="H100" s="67" t="s">
        <v>3385</v>
      </c>
      <c r="I100" s="67" t="s">
        <v>161</v>
      </c>
      <c r="J100" s="67" t="s">
        <v>649</v>
      </c>
      <c r="K100" s="67" t="s">
        <v>161</v>
      </c>
      <c r="L100" s="67" t="s">
        <v>3386</v>
      </c>
      <c r="M100" s="67" t="s">
        <v>3387</v>
      </c>
      <c r="N100" s="67" t="s">
        <v>3387</v>
      </c>
      <c r="O100" s="67" t="s">
        <v>165</v>
      </c>
      <c r="P100" s="67" t="s">
        <v>3388</v>
      </c>
    </row>
    <row r="101" customHeight="1" spans="1:16">
      <c r="A101" s="67" t="s">
        <v>3395</v>
      </c>
      <c r="B101" s="67">
        <v>48.7</v>
      </c>
      <c r="C101" s="67">
        <v>4</v>
      </c>
      <c r="D101" s="67" t="s">
        <v>5240</v>
      </c>
      <c r="E101" s="67" t="s">
        <v>3397</v>
      </c>
      <c r="F101" s="67" t="s">
        <v>12</v>
      </c>
      <c r="G101" s="67" t="s">
        <v>1229</v>
      </c>
      <c r="H101" s="67" t="s">
        <v>3398</v>
      </c>
      <c r="I101" s="67" t="s">
        <v>161</v>
      </c>
      <c r="J101" s="67" t="s">
        <v>649</v>
      </c>
      <c r="K101" s="67" t="s">
        <v>161</v>
      </c>
      <c r="L101" s="67" t="s">
        <v>1231</v>
      </c>
      <c r="M101" s="67" t="s">
        <v>3399</v>
      </c>
      <c r="N101" s="67" t="s">
        <v>3399</v>
      </c>
      <c r="O101" s="67" t="s">
        <v>165</v>
      </c>
      <c r="P101" s="67" t="s">
        <v>3400</v>
      </c>
    </row>
    <row r="102" customHeight="1" spans="1:16">
      <c r="A102" s="67" t="s">
        <v>3401</v>
      </c>
      <c r="B102" s="67">
        <v>57.6</v>
      </c>
      <c r="C102" s="67">
        <v>6</v>
      </c>
      <c r="D102" s="67" t="s">
        <v>5241</v>
      </c>
      <c r="E102" s="67" t="s">
        <v>3403</v>
      </c>
      <c r="F102" s="67" t="s">
        <v>12</v>
      </c>
      <c r="G102" s="67" t="s">
        <v>1229</v>
      </c>
      <c r="H102" s="67" t="s">
        <v>3404</v>
      </c>
      <c r="I102" s="67" t="s">
        <v>161</v>
      </c>
      <c r="J102" s="67" t="s">
        <v>649</v>
      </c>
      <c r="K102" s="67" t="s">
        <v>161</v>
      </c>
      <c r="L102" s="67" t="s">
        <v>1231</v>
      </c>
      <c r="M102" s="67" t="s">
        <v>3405</v>
      </c>
      <c r="N102" s="67" t="s">
        <v>3405</v>
      </c>
      <c r="O102" s="67" t="s">
        <v>165</v>
      </c>
      <c r="P102" s="67" t="s">
        <v>3406</v>
      </c>
    </row>
    <row r="103" customHeight="1" spans="1:16">
      <c r="A103" s="67" t="s">
        <v>3449</v>
      </c>
      <c r="B103" s="67">
        <v>116.7</v>
      </c>
      <c r="C103" s="67">
        <v>3</v>
      </c>
      <c r="D103" s="67" t="s">
        <v>5242</v>
      </c>
      <c r="E103" s="67" t="s">
        <v>2914</v>
      </c>
      <c r="F103" s="67" t="s">
        <v>12</v>
      </c>
      <c r="G103" s="67" t="s">
        <v>3451</v>
      </c>
      <c r="H103" s="67" t="s">
        <v>3452</v>
      </c>
      <c r="I103" s="67" t="s">
        <v>161</v>
      </c>
      <c r="J103" s="67" t="s">
        <v>649</v>
      </c>
      <c r="K103" s="67" t="s">
        <v>161</v>
      </c>
      <c r="L103" s="67" t="s">
        <v>3453</v>
      </c>
      <c r="M103" s="67" t="s">
        <v>3454</v>
      </c>
      <c r="N103" s="67" t="s">
        <v>3454</v>
      </c>
      <c r="O103" s="67" t="s">
        <v>165</v>
      </c>
      <c r="P103" s="67" t="s">
        <v>3455</v>
      </c>
    </row>
    <row r="104" customHeight="1" spans="1:16">
      <c r="A104" s="67" t="s">
        <v>3456</v>
      </c>
      <c r="B104" s="67">
        <v>26.89</v>
      </c>
      <c r="C104" s="67">
        <v>2</v>
      </c>
      <c r="D104" s="67" t="s">
        <v>5243</v>
      </c>
      <c r="E104" s="67" t="s">
        <v>3458</v>
      </c>
      <c r="F104" s="67" t="s">
        <v>12</v>
      </c>
      <c r="G104" s="67" t="s">
        <v>2809</v>
      </c>
      <c r="H104" s="67" t="s">
        <v>3459</v>
      </c>
      <c r="I104" s="67" t="s">
        <v>161</v>
      </c>
      <c r="J104" s="67" t="s">
        <v>649</v>
      </c>
      <c r="K104" s="67" t="s">
        <v>3460</v>
      </c>
      <c r="L104" s="67" t="s">
        <v>3461</v>
      </c>
      <c r="M104" s="67" t="s">
        <v>3462</v>
      </c>
      <c r="N104" s="67" t="s">
        <v>3462</v>
      </c>
      <c r="O104" s="67" t="s">
        <v>165</v>
      </c>
      <c r="P104" s="67" t="s">
        <v>3463</v>
      </c>
    </row>
    <row r="105" customHeight="1" spans="1:16">
      <c r="A105" s="67" t="s">
        <v>3478</v>
      </c>
      <c r="B105" s="67">
        <v>26.89</v>
      </c>
      <c r="C105" s="67">
        <v>2</v>
      </c>
      <c r="D105" s="67" t="s">
        <v>5231</v>
      </c>
      <c r="E105" s="67" t="s">
        <v>3480</v>
      </c>
      <c r="F105" s="67" t="s">
        <v>12</v>
      </c>
      <c r="G105" s="67" t="s">
        <v>3481</v>
      </c>
      <c r="H105" s="67" t="s">
        <v>3482</v>
      </c>
      <c r="I105" s="67" t="s">
        <v>161</v>
      </c>
      <c r="J105" s="67" t="s">
        <v>649</v>
      </c>
      <c r="K105" s="67" t="s">
        <v>161</v>
      </c>
      <c r="L105" s="67" t="s">
        <v>3483</v>
      </c>
      <c r="M105" s="67" t="s">
        <v>3484</v>
      </c>
      <c r="N105" s="67" t="s">
        <v>3484</v>
      </c>
      <c r="O105" s="67" t="s">
        <v>165</v>
      </c>
      <c r="P105" s="67" t="s">
        <v>3485</v>
      </c>
    </row>
    <row r="106" customHeight="1" spans="1:16">
      <c r="A106" s="67" t="s">
        <v>3486</v>
      </c>
      <c r="B106" s="67">
        <v>19.51</v>
      </c>
      <c r="C106" s="67">
        <v>2</v>
      </c>
      <c r="D106" s="67" t="s">
        <v>5244</v>
      </c>
      <c r="E106" s="67" t="s">
        <v>3488</v>
      </c>
      <c r="F106" s="67" t="s">
        <v>12</v>
      </c>
      <c r="G106" s="67" t="s">
        <v>3489</v>
      </c>
      <c r="H106" s="67" t="s">
        <v>3490</v>
      </c>
      <c r="I106" s="67" t="s">
        <v>161</v>
      </c>
      <c r="J106" s="67" t="s">
        <v>649</v>
      </c>
      <c r="K106" s="67" t="s">
        <v>161</v>
      </c>
      <c r="L106" s="67" t="s">
        <v>3491</v>
      </c>
      <c r="M106" s="67" t="s">
        <v>3492</v>
      </c>
      <c r="N106" s="67" t="s">
        <v>3492</v>
      </c>
      <c r="O106" s="67" t="s">
        <v>165</v>
      </c>
      <c r="P106" s="67" t="s">
        <v>3493</v>
      </c>
    </row>
    <row r="107" customHeight="1" spans="1:16">
      <c r="A107" s="67" t="s">
        <v>3502</v>
      </c>
      <c r="B107" s="67">
        <v>43.73</v>
      </c>
      <c r="C107" s="67">
        <v>5</v>
      </c>
      <c r="D107" s="67" t="s">
        <v>5245</v>
      </c>
      <c r="E107" s="67" t="s">
        <v>3504</v>
      </c>
      <c r="F107" s="67" t="s">
        <v>12</v>
      </c>
      <c r="G107" s="67" t="s">
        <v>3505</v>
      </c>
      <c r="H107" s="67" t="s">
        <v>3506</v>
      </c>
      <c r="I107" s="67" t="s">
        <v>161</v>
      </c>
      <c r="J107" s="67" t="s">
        <v>649</v>
      </c>
      <c r="K107" s="67" t="s">
        <v>161</v>
      </c>
      <c r="L107" s="67" t="s">
        <v>3507</v>
      </c>
      <c r="M107" s="67" t="s">
        <v>3508</v>
      </c>
      <c r="N107" s="67" t="s">
        <v>3508</v>
      </c>
      <c r="O107" s="67" t="s">
        <v>165</v>
      </c>
      <c r="P107" s="67" t="s">
        <v>3509</v>
      </c>
    </row>
    <row r="108" customHeight="1" spans="1:16">
      <c r="A108" s="67" t="s">
        <v>3523</v>
      </c>
      <c r="B108" s="67">
        <v>19.74</v>
      </c>
      <c r="C108" s="67">
        <v>4</v>
      </c>
      <c r="D108" s="67" t="s">
        <v>5246</v>
      </c>
      <c r="E108" s="67" t="s">
        <v>3525</v>
      </c>
      <c r="F108" s="67" t="s">
        <v>12</v>
      </c>
      <c r="G108" s="67" t="s">
        <v>3526</v>
      </c>
      <c r="H108" s="67" t="s">
        <v>3527</v>
      </c>
      <c r="I108" s="67" t="s">
        <v>161</v>
      </c>
      <c r="J108" s="67" t="s">
        <v>649</v>
      </c>
      <c r="K108" s="67" t="s">
        <v>161</v>
      </c>
      <c r="L108" s="67" t="s">
        <v>3528</v>
      </c>
      <c r="M108" s="67" t="s">
        <v>3529</v>
      </c>
      <c r="N108" s="67" t="s">
        <v>3529</v>
      </c>
      <c r="O108" s="67" t="s">
        <v>165</v>
      </c>
      <c r="P108" s="67" t="s">
        <v>3530</v>
      </c>
    </row>
    <row r="109" customHeight="1" spans="1:16">
      <c r="A109" s="67" t="s">
        <v>3531</v>
      </c>
      <c r="B109" s="67">
        <v>30.85</v>
      </c>
      <c r="C109" s="67">
        <v>3</v>
      </c>
      <c r="D109" s="67" t="s">
        <v>5247</v>
      </c>
      <c r="E109" s="67" t="s">
        <v>3533</v>
      </c>
      <c r="F109" s="67" t="s">
        <v>12</v>
      </c>
      <c r="G109" s="67" t="s">
        <v>3534</v>
      </c>
      <c r="H109" s="67" t="s">
        <v>3535</v>
      </c>
      <c r="I109" s="67" t="s">
        <v>161</v>
      </c>
      <c r="J109" s="67" t="s">
        <v>649</v>
      </c>
      <c r="K109" s="67" t="s">
        <v>3536</v>
      </c>
      <c r="L109" s="67" t="s">
        <v>3537</v>
      </c>
      <c r="M109" s="67" t="s">
        <v>3538</v>
      </c>
      <c r="N109" s="67" t="s">
        <v>3538</v>
      </c>
      <c r="O109" s="67" t="s">
        <v>165</v>
      </c>
      <c r="P109" s="67" t="s">
        <v>3539</v>
      </c>
    </row>
    <row r="110" s="61" customFormat="1" hidden="1" customHeight="1" spans="1:16">
      <c r="A110" s="65" t="s">
        <v>3548</v>
      </c>
      <c r="B110" s="65">
        <v>67.1</v>
      </c>
      <c r="C110" s="65">
        <v>4</v>
      </c>
      <c r="D110" s="65" t="s">
        <v>3549</v>
      </c>
      <c r="E110" s="65" t="s">
        <v>3550</v>
      </c>
      <c r="F110" s="65" t="s">
        <v>12</v>
      </c>
      <c r="G110" s="65" t="s">
        <v>3551</v>
      </c>
      <c r="H110" s="65" t="s">
        <v>3552</v>
      </c>
      <c r="I110" s="66" t="s">
        <v>5166</v>
      </c>
      <c r="J110" s="65" t="s">
        <v>161</v>
      </c>
      <c r="K110" s="65" t="s">
        <v>161</v>
      </c>
      <c r="L110" s="65" t="s">
        <v>3553</v>
      </c>
      <c r="M110" s="65" t="s">
        <v>3554</v>
      </c>
      <c r="N110" s="65" t="s">
        <v>3554</v>
      </c>
      <c r="O110" s="65" t="s">
        <v>165</v>
      </c>
      <c r="P110" s="65" t="s">
        <v>3555</v>
      </c>
    </row>
    <row r="111" customHeight="1" spans="1:16">
      <c r="A111" s="67" t="s">
        <v>3572</v>
      </c>
      <c r="B111" s="67">
        <v>35.75</v>
      </c>
      <c r="C111" s="67">
        <v>4</v>
      </c>
      <c r="D111" s="67" t="s">
        <v>5248</v>
      </c>
      <c r="E111" s="67" t="s">
        <v>3574</v>
      </c>
      <c r="F111" s="67" t="s">
        <v>12</v>
      </c>
      <c r="G111" s="67" t="s">
        <v>3575</v>
      </c>
      <c r="H111" s="67" t="s">
        <v>3576</v>
      </c>
      <c r="I111" s="67" t="s">
        <v>161</v>
      </c>
      <c r="J111" s="67" t="s">
        <v>161</v>
      </c>
      <c r="K111" s="67" t="s">
        <v>161</v>
      </c>
      <c r="L111" s="67" t="s">
        <v>3577</v>
      </c>
      <c r="M111" s="67" t="s">
        <v>3578</v>
      </c>
      <c r="N111" s="67" t="s">
        <v>3578</v>
      </c>
      <c r="O111" s="67" t="s">
        <v>165</v>
      </c>
      <c r="P111" s="67" t="s">
        <v>3579</v>
      </c>
    </row>
    <row r="112" customHeight="1" spans="1:16">
      <c r="A112" s="67" t="s">
        <v>3580</v>
      </c>
      <c r="B112" s="67">
        <v>26.89</v>
      </c>
      <c r="C112" s="67">
        <v>2</v>
      </c>
      <c r="D112" s="67" t="s">
        <v>5231</v>
      </c>
      <c r="E112" s="67" t="s">
        <v>3582</v>
      </c>
      <c r="F112" s="67" t="s">
        <v>12</v>
      </c>
      <c r="G112" s="67" t="s">
        <v>3583</v>
      </c>
      <c r="H112" s="67" t="s">
        <v>3584</v>
      </c>
      <c r="I112" s="67" t="s">
        <v>161</v>
      </c>
      <c r="J112" s="67" t="s">
        <v>161</v>
      </c>
      <c r="K112" s="67" t="s">
        <v>161</v>
      </c>
      <c r="L112" s="67" t="s">
        <v>3585</v>
      </c>
      <c r="M112" s="67" t="s">
        <v>3586</v>
      </c>
      <c r="N112" s="67" t="s">
        <v>3586</v>
      </c>
      <c r="O112" s="67" t="s">
        <v>165</v>
      </c>
      <c r="P112" s="67" t="s">
        <v>3587</v>
      </c>
    </row>
    <row r="113" customHeight="1" spans="1:16">
      <c r="A113" s="67" t="s">
        <v>3596</v>
      </c>
      <c r="B113" s="67">
        <v>30.85</v>
      </c>
      <c r="C113" s="67">
        <v>3</v>
      </c>
      <c r="D113" s="67" t="s">
        <v>5238</v>
      </c>
      <c r="E113" s="67" t="s">
        <v>3598</v>
      </c>
      <c r="F113" s="67" t="s">
        <v>12</v>
      </c>
      <c r="G113" s="67" t="s">
        <v>3599</v>
      </c>
      <c r="H113" s="67" t="s">
        <v>3600</v>
      </c>
      <c r="I113" s="67" t="s">
        <v>161</v>
      </c>
      <c r="J113" s="67" t="s">
        <v>161</v>
      </c>
      <c r="K113" s="67" t="s">
        <v>161</v>
      </c>
      <c r="L113" s="67" t="s">
        <v>3601</v>
      </c>
      <c r="M113" s="67" t="s">
        <v>3602</v>
      </c>
      <c r="N113" s="67" t="s">
        <v>3602</v>
      </c>
      <c r="O113" s="67" t="s">
        <v>165</v>
      </c>
      <c r="P113" s="67" t="s">
        <v>3603</v>
      </c>
    </row>
    <row r="114" customHeight="1" spans="1:16">
      <c r="A114" s="67" t="s">
        <v>3620</v>
      </c>
      <c r="B114" s="67">
        <v>38.3</v>
      </c>
      <c r="C114" s="67">
        <v>3</v>
      </c>
      <c r="D114" s="67" t="s">
        <v>5238</v>
      </c>
      <c r="E114" s="67" t="s">
        <v>3622</v>
      </c>
      <c r="F114" s="67" t="s">
        <v>12</v>
      </c>
      <c r="G114" s="67" t="s">
        <v>3623</v>
      </c>
      <c r="H114" s="67" t="s">
        <v>3624</v>
      </c>
      <c r="I114" s="67" t="s">
        <v>161</v>
      </c>
      <c r="J114" s="67" t="s">
        <v>161</v>
      </c>
      <c r="K114" s="67" t="s">
        <v>161</v>
      </c>
      <c r="L114" s="67" t="s">
        <v>3625</v>
      </c>
      <c r="M114" s="67" t="s">
        <v>3626</v>
      </c>
      <c r="N114" s="67" t="s">
        <v>3626</v>
      </c>
      <c r="O114" s="67" t="s">
        <v>165</v>
      </c>
      <c r="P114" s="67" t="s">
        <v>3627</v>
      </c>
    </row>
    <row r="115" customHeight="1" spans="1:16">
      <c r="A115" s="67" t="s">
        <v>3628</v>
      </c>
      <c r="B115" s="67">
        <v>26.89</v>
      </c>
      <c r="C115" s="67">
        <v>2</v>
      </c>
      <c r="D115" s="67" t="s">
        <v>5231</v>
      </c>
      <c r="E115" s="67" t="s">
        <v>3630</v>
      </c>
      <c r="F115" s="67" t="s">
        <v>12</v>
      </c>
      <c r="G115" s="67" t="s">
        <v>3631</v>
      </c>
      <c r="H115" s="67" t="s">
        <v>3632</v>
      </c>
      <c r="I115" s="67" t="s">
        <v>161</v>
      </c>
      <c r="J115" s="67" t="s">
        <v>161</v>
      </c>
      <c r="K115" s="67" t="s">
        <v>161</v>
      </c>
      <c r="L115" s="67" t="s">
        <v>3633</v>
      </c>
      <c r="M115" s="67" t="s">
        <v>3634</v>
      </c>
      <c r="N115" s="67" t="s">
        <v>3634</v>
      </c>
      <c r="O115" s="67" t="s">
        <v>165</v>
      </c>
      <c r="P115" s="67" t="s">
        <v>3635</v>
      </c>
    </row>
    <row r="116" customHeight="1" spans="1:16">
      <c r="A116" s="67" t="s">
        <v>3636</v>
      </c>
      <c r="B116" s="67">
        <v>26.89</v>
      </c>
      <c r="C116" s="67">
        <v>2</v>
      </c>
      <c r="D116" s="67" t="s">
        <v>5243</v>
      </c>
      <c r="E116" s="67" t="s">
        <v>3638</v>
      </c>
      <c r="F116" s="67" t="s">
        <v>12</v>
      </c>
      <c r="G116" s="67" t="s">
        <v>3639</v>
      </c>
      <c r="H116" s="67" t="s">
        <v>3640</v>
      </c>
      <c r="I116" s="67" t="s">
        <v>161</v>
      </c>
      <c r="J116" s="67" t="s">
        <v>161</v>
      </c>
      <c r="K116" s="67" t="s">
        <v>161</v>
      </c>
      <c r="L116" s="67" t="s">
        <v>3641</v>
      </c>
      <c r="M116" s="67" t="s">
        <v>3642</v>
      </c>
      <c r="N116" s="67" t="s">
        <v>3642</v>
      </c>
      <c r="O116" s="67" t="s">
        <v>165</v>
      </c>
      <c r="P116" s="67" t="s">
        <v>3643</v>
      </c>
    </row>
    <row r="117" s="61" customFormat="1" hidden="1" customHeight="1" spans="1:16">
      <c r="A117" s="65" t="s">
        <v>3644</v>
      </c>
      <c r="B117" s="65">
        <v>47.8</v>
      </c>
      <c r="C117" s="65">
        <v>4</v>
      </c>
      <c r="D117" s="65" t="s">
        <v>3645</v>
      </c>
      <c r="E117" s="65" t="s">
        <v>3646</v>
      </c>
      <c r="F117" s="65" t="s">
        <v>12</v>
      </c>
      <c r="G117" s="65" t="s">
        <v>3647</v>
      </c>
      <c r="H117" s="65" t="s">
        <v>3648</v>
      </c>
      <c r="I117" s="66" t="s">
        <v>5166</v>
      </c>
      <c r="J117" s="65" t="s">
        <v>161</v>
      </c>
      <c r="K117" s="65" t="s">
        <v>161</v>
      </c>
      <c r="L117" s="65" t="s">
        <v>3649</v>
      </c>
      <c r="M117" s="65" t="s">
        <v>3650</v>
      </c>
      <c r="N117" s="65" t="s">
        <v>3650</v>
      </c>
      <c r="O117" s="65" t="s">
        <v>165</v>
      </c>
      <c r="P117" s="65" t="s">
        <v>3651</v>
      </c>
    </row>
    <row r="118" customHeight="1" spans="1:16">
      <c r="A118" s="67" t="s">
        <v>3652</v>
      </c>
      <c r="B118" s="67">
        <v>17.69</v>
      </c>
      <c r="C118" s="67">
        <v>4</v>
      </c>
      <c r="D118" s="67" t="s">
        <v>5249</v>
      </c>
      <c r="E118" s="67" t="s">
        <v>3654</v>
      </c>
      <c r="F118" s="67" t="s">
        <v>12</v>
      </c>
      <c r="G118" s="67" t="s">
        <v>3655</v>
      </c>
      <c r="H118" s="67" t="s">
        <v>3656</v>
      </c>
      <c r="I118" s="67" t="s">
        <v>161</v>
      </c>
      <c r="J118" s="67" t="s">
        <v>161</v>
      </c>
      <c r="K118" s="67" t="s">
        <v>161</v>
      </c>
      <c r="L118" s="67" t="s">
        <v>3657</v>
      </c>
      <c r="M118" s="67" t="s">
        <v>3658</v>
      </c>
      <c r="N118" s="67" t="s">
        <v>3658</v>
      </c>
      <c r="O118" s="67" t="s">
        <v>165</v>
      </c>
      <c r="P118" s="67" t="s">
        <v>3659</v>
      </c>
    </row>
    <row r="119" customHeight="1" spans="1:16">
      <c r="A119" s="67" t="s">
        <v>3660</v>
      </c>
      <c r="B119" s="67">
        <v>26.89</v>
      </c>
      <c r="C119" s="67">
        <v>2</v>
      </c>
      <c r="D119" s="67" t="s">
        <v>5231</v>
      </c>
      <c r="E119" s="67" t="s">
        <v>3630</v>
      </c>
      <c r="F119" s="67" t="s">
        <v>12</v>
      </c>
      <c r="G119" s="67" t="s">
        <v>3661</v>
      </c>
      <c r="H119" s="67" t="s">
        <v>3662</v>
      </c>
      <c r="I119" s="67" t="s">
        <v>161</v>
      </c>
      <c r="J119" s="67" t="s">
        <v>161</v>
      </c>
      <c r="K119" s="67" t="s">
        <v>161</v>
      </c>
      <c r="L119" s="67" t="s">
        <v>3663</v>
      </c>
      <c r="M119" s="67" t="s">
        <v>3664</v>
      </c>
      <c r="N119" s="67" t="s">
        <v>3664</v>
      </c>
      <c r="O119" s="67" t="s">
        <v>165</v>
      </c>
      <c r="P119" s="67" t="s">
        <v>3665</v>
      </c>
    </row>
    <row r="120" customHeight="1" spans="1:16">
      <c r="A120" s="67" t="s">
        <v>3682</v>
      </c>
      <c r="B120" s="67">
        <v>26.89</v>
      </c>
      <c r="C120" s="67">
        <v>2</v>
      </c>
      <c r="D120" s="67" t="s">
        <v>5231</v>
      </c>
      <c r="E120" s="67" t="s">
        <v>3684</v>
      </c>
      <c r="F120" s="67" t="s">
        <v>12</v>
      </c>
      <c r="G120" s="67" t="s">
        <v>3685</v>
      </c>
      <c r="H120" s="67" t="s">
        <v>3686</v>
      </c>
      <c r="I120" s="67" t="s">
        <v>161</v>
      </c>
      <c r="J120" s="67" t="s">
        <v>161</v>
      </c>
      <c r="K120" s="67" t="s">
        <v>161</v>
      </c>
      <c r="L120" s="67" t="s">
        <v>3687</v>
      </c>
      <c r="M120" s="67" t="s">
        <v>3688</v>
      </c>
      <c r="N120" s="67" t="s">
        <v>3688</v>
      </c>
      <c r="O120" s="67" t="s">
        <v>165</v>
      </c>
      <c r="P120" s="67" t="s">
        <v>3689</v>
      </c>
    </row>
    <row r="121" s="62" customFormat="1" customHeight="1" spans="1:16">
      <c r="A121" s="68" t="s">
        <v>3690</v>
      </c>
      <c r="B121" s="68">
        <v>28.09</v>
      </c>
      <c r="C121" s="68">
        <v>2</v>
      </c>
      <c r="D121" s="68" t="s">
        <v>5231</v>
      </c>
      <c r="E121" s="68" t="s">
        <v>3263</v>
      </c>
      <c r="F121" s="68" t="s">
        <v>12</v>
      </c>
      <c r="G121" s="68" t="s">
        <v>3691</v>
      </c>
      <c r="H121" s="68" t="s">
        <v>3692</v>
      </c>
      <c r="I121" s="69"/>
      <c r="J121" s="68" t="s">
        <v>161</v>
      </c>
      <c r="K121" s="68" t="s">
        <v>161</v>
      </c>
      <c r="L121" s="68" t="s">
        <v>3693</v>
      </c>
      <c r="M121" s="68" t="s">
        <v>3694</v>
      </c>
      <c r="N121" s="68" t="s">
        <v>3694</v>
      </c>
      <c r="O121" s="68" t="s">
        <v>165</v>
      </c>
      <c r="P121" s="68" t="s">
        <v>3695</v>
      </c>
    </row>
    <row r="122" customHeight="1" spans="1:16">
      <c r="A122" s="67" t="s">
        <v>3696</v>
      </c>
      <c r="B122" s="67">
        <v>55.58</v>
      </c>
      <c r="C122" s="67">
        <v>6</v>
      </c>
      <c r="D122" s="67" t="s">
        <v>5250</v>
      </c>
      <c r="E122" s="67" t="s">
        <v>3698</v>
      </c>
      <c r="F122" s="67" t="s">
        <v>12</v>
      </c>
      <c r="G122" s="67" t="s">
        <v>3699</v>
      </c>
      <c r="H122" s="67" t="s">
        <v>3700</v>
      </c>
      <c r="I122" s="67" t="s">
        <v>161</v>
      </c>
      <c r="J122" s="67" t="s">
        <v>161</v>
      </c>
      <c r="K122" s="67" t="s">
        <v>161</v>
      </c>
      <c r="L122" s="67" t="s">
        <v>3701</v>
      </c>
      <c r="M122" s="67" t="s">
        <v>3702</v>
      </c>
      <c r="N122" s="67" t="s">
        <v>3702</v>
      </c>
      <c r="O122" s="67" t="s">
        <v>165</v>
      </c>
      <c r="P122" s="67" t="s">
        <v>3703</v>
      </c>
    </row>
    <row r="123" customHeight="1" spans="1:16">
      <c r="A123" s="67" t="s">
        <v>3704</v>
      </c>
      <c r="B123" s="67">
        <v>30.85</v>
      </c>
      <c r="C123" s="67">
        <v>3</v>
      </c>
      <c r="D123" s="67" t="s">
        <v>5238</v>
      </c>
      <c r="E123" s="67" t="s">
        <v>3598</v>
      </c>
      <c r="F123" s="67" t="s">
        <v>12</v>
      </c>
      <c r="G123" s="67" t="s">
        <v>3705</v>
      </c>
      <c r="H123" s="67" t="s">
        <v>3706</v>
      </c>
      <c r="I123" s="67" t="s">
        <v>161</v>
      </c>
      <c r="J123" s="67" t="s">
        <v>161</v>
      </c>
      <c r="K123" s="67" t="s">
        <v>161</v>
      </c>
      <c r="L123" s="67" t="s">
        <v>3707</v>
      </c>
      <c r="M123" s="67" t="s">
        <v>3708</v>
      </c>
      <c r="N123" s="67" t="s">
        <v>3708</v>
      </c>
      <c r="O123" s="67" t="s">
        <v>165</v>
      </c>
      <c r="P123" s="67" t="s">
        <v>3709</v>
      </c>
    </row>
    <row r="124" s="62" customFormat="1" customHeight="1" spans="1:16">
      <c r="A124" s="68" t="s">
        <v>3710</v>
      </c>
      <c r="B124" s="68">
        <v>26.89</v>
      </c>
      <c r="C124" s="68">
        <v>2</v>
      </c>
      <c r="D124" s="68" t="s">
        <v>5231</v>
      </c>
      <c r="E124" s="68" t="s">
        <v>3263</v>
      </c>
      <c r="F124" s="68" t="s">
        <v>12</v>
      </c>
      <c r="G124" s="68" t="s">
        <v>3711</v>
      </c>
      <c r="H124" s="68" t="s">
        <v>3712</v>
      </c>
      <c r="I124" s="69"/>
      <c r="J124" s="68" t="s">
        <v>161</v>
      </c>
      <c r="K124" s="68" t="s">
        <v>161</v>
      </c>
      <c r="L124" s="68" t="s">
        <v>3713</v>
      </c>
      <c r="M124" s="68" t="s">
        <v>3714</v>
      </c>
      <c r="N124" s="68" t="s">
        <v>3714</v>
      </c>
      <c r="O124" s="68" t="s">
        <v>165</v>
      </c>
      <c r="P124" s="68" t="s">
        <v>3715</v>
      </c>
    </row>
    <row r="125" s="62" customFormat="1" customHeight="1" spans="1:16">
      <c r="A125" s="68" t="s">
        <v>3716</v>
      </c>
      <c r="B125" s="68">
        <v>26.89</v>
      </c>
      <c r="C125" s="68">
        <v>2</v>
      </c>
      <c r="D125" s="68" t="s">
        <v>5231</v>
      </c>
      <c r="E125" s="68" t="s">
        <v>3263</v>
      </c>
      <c r="F125" s="68" t="s">
        <v>12</v>
      </c>
      <c r="G125" s="68" t="s">
        <v>3717</v>
      </c>
      <c r="H125" s="68" t="s">
        <v>3718</v>
      </c>
      <c r="I125" s="69"/>
      <c r="J125" s="68" t="s">
        <v>161</v>
      </c>
      <c r="K125" s="68" t="s">
        <v>161</v>
      </c>
      <c r="L125" s="68" t="s">
        <v>3719</v>
      </c>
      <c r="M125" s="68" t="s">
        <v>3720</v>
      </c>
      <c r="N125" s="68" t="s">
        <v>3720</v>
      </c>
      <c r="O125" s="68" t="s">
        <v>165</v>
      </c>
      <c r="P125" s="68" t="s">
        <v>3721</v>
      </c>
    </row>
    <row r="126" customHeight="1" spans="1:16">
      <c r="A126" s="67" t="s">
        <v>3722</v>
      </c>
      <c r="B126" s="67">
        <v>26.89</v>
      </c>
      <c r="C126" s="67">
        <v>2</v>
      </c>
      <c r="D126" s="67" t="s">
        <v>5231</v>
      </c>
      <c r="E126" s="67" t="s">
        <v>3630</v>
      </c>
      <c r="F126" s="67" t="s">
        <v>12</v>
      </c>
      <c r="G126" s="67" t="s">
        <v>3551</v>
      </c>
      <c r="H126" s="67" t="s">
        <v>3723</v>
      </c>
      <c r="I126" s="67" t="s">
        <v>161</v>
      </c>
      <c r="J126" s="67" t="s">
        <v>161</v>
      </c>
      <c r="K126" s="67" t="s">
        <v>161</v>
      </c>
      <c r="L126" s="67" t="s">
        <v>3724</v>
      </c>
      <c r="M126" s="67" t="s">
        <v>3725</v>
      </c>
      <c r="N126" s="67" t="s">
        <v>3725</v>
      </c>
      <c r="O126" s="67" t="s">
        <v>165</v>
      </c>
      <c r="P126" s="67" t="s">
        <v>3726</v>
      </c>
    </row>
    <row r="127" customHeight="1" spans="1:16">
      <c r="A127" s="67" t="s">
        <v>3727</v>
      </c>
      <c r="B127" s="67">
        <v>26.89</v>
      </c>
      <c r="C127" s="67">
        <v>2</v>
      </c>
      <c r="D127" s="67" t="s">
        <v>5231</v>
      </c>
      <c r="E127" s="67" t="s">
        <v>3729</v>
      </c>
      <c r="F127" s="67" t="s">
        <v>12</v>
      </c>
      <c r="G127" s="67" t="s">
        <v>3730</v>
      </c>
      <c r="H127" s="67" t="s">
        <v>3731</v>
      </c>
      <c r="I127" s="67" t="s">
        <v>161</v>
      </c>
      <c r="J127" s="67" t="s">
        <v>161</v>
      </c>
      <c r="K127" s="67" t="s">
        <v>161</v>
      </c>
      <c r="L127" s="67" t="s">
        <v>3732</v>
      </c>
      <c r="M127" s="67" t="s">
        <v>3733</v>
      </c>
      <c r="N127" s="67" t="s">
        <v>3733</v>
      </c>
      <c r="O127" s="67" t="s">
        <v>165</v>
      </c>
      <c r="P127" s="67" t="s">
        <v>3734</v>
      </c>
    </row>
    <row r="128" s="61" customFormat="1" hidden="1" customHeight="1" spans="1:16">
      <c r="A128" s="65" t="s">
        <v>3748</v>
      </c>
      <c r="B128" s="65">
        <v>47.8</v>
      </c>
      <c r="C128" s="65">
        <v>4</v>
      </c>
      <c r="D128" s="65" t="s">
        <v>3749</v>
      </c>
      <c r="E128" s="65" t="s">
        <v>3750</v>
      </c>
      <c r="F128" s="65" t="s">
        <v>12</v>
      </c>
      <c r="G128" s="65" t="s">
        <v>3751</v>
      </c>
      <c r="H128" s="65" t="s">
        <v>3752</v>
      </c>
      <c r="I128" s="66" t="s">
        <v>5166</v>
      </c>
      <c r="J128" s="65" t="s">
        <v>161</v>
      </c>
      <c r="K128" s="65" t="s">
        <v>161</v>
      </c>
      <c r="L128" s="65" t="s">
        <v>3753</v>
      </c>
      <c r="M128" s="65" t="s">
        <v>3754</v>
      </c>
      <c r="N128" s="65" t="s">
        <v>3754</v>
      </c>
      <c r="O128" s="65" t="s">
        <v>165</v>
      </c>
      <c r="P128" s="65" t="s">
        <v>3755</v>
      </c>
    </row>
    <row r="129" customHeight="1" spans="1:16">
      <c r="A129" s="67" t="s">
        <v>3756</v>
      </c>
      <c r="B129" s="67">
        <v>62.55</v>
      </c>
      <c r="C129" s="67">
        <v>7</v>
      </c>
      <c r="D129" s="67" t="s">
        <v>5251</v>
      </c>
      <c r="E129" s="67" t="s">
        <v>3758</v>
      </c>
      <c r="F129" s="67" t="s">
        <v>12</v>
      </c>
      <c r="G129" s="67" t="s">
        <v>3759</v>
      </c>
      <c r="H129" s="67" t="s">
        <v>3760</v>
      </c>
      <c r="I129" s="67" t="s">
        <v>161</v>
      </c>
      <c r="J129" s="67" t="s">
        <v>161</v>
      </c>
      <c r="K129" s="67" t="s">
        <v>161</v>
      </c>
      <c r="L129" s="67" t="s">
        <v>3761</v>
      </c>
      <c r="M129" s="67" t="s">
        <v>3762</v>
      </c>
      <c r="N129" s="67" t="s">
        <v>3762</v>
      </c>
      <c r="O129" s="67" t="s">
        <v>165</v>
      </c>
      <c r="P129" s="67" t="s">
        <v>3763</v>
      </c>
    </row>
    <row r="130" s="61" customFormat="1" hidden="1" customHeight="1" spans="1:16">
      <c r="A130" s="65" t="s">
        <v>3764</v>
      </c>
      <c r="B130" s="65">
        <v>47.8</v>
      </c>
      <c r="C130" s="65">
        <v>4</v>
      </c>
      <c r="D130" s="65" t="s">
        <v>3765</v>
      </c>
      <c r="E130" s="65" t="s">
        <v>3766</v>
      </c>
      <c r="F130" s="65" t="s">
        <v>12</v>
      </c>
      <c r="G130" s="65" t="s">
        <v>3767</v>
      </c>
      <c r="H130" s="65" t="s">
        <v>3768</v>
      </c>
      <c r="I130" s="66" t="s">
        <v>5166</v>
      </c>
      <c r="J130" s="65" t="s">
        <v>161</v>
      </c>
      <c r="K130" s="65" t="s">
        <v>161</v>
      </c>
      <c r="L130" s="65" t="s">
        <v>3769</v>
      </c>
      <c r="M130" s="65" t="s">
        <v>3770</v>
      </c>
      <c r="N130" s="65" t="s">
        <v>3770</v>
      </c>
      <c r="O130" s="65" t="s">
        <v>165</v>
      </c>
      <c r="P130" s="65" t="s">
        <v>3771</v>
      </c>
    </row>
    <row r="131" s="62" customFormat="1" customHeight="1" spans="1:16">
      <c r="A131" s="68" t="s">
        <v>3772</v>
      </c>
      <c r="B131" s="68">
        <v>30.85</v>
      </c>
      <c r="C131" s="68">
        <v>3</v>
      </c>
      <c r="D131" s="68" t="s">
        <v>5238</v>
      </c>
      <c r="E131" s="68" t="s">
        <v>3369</v>
      </c>
      <c r="F131" s="68" t="s">
        <v>12</v>
      </c>
      <c r="G131" s="68" t="s">
        <v>3773</v>
      </c>
      <c r="H131" s="68" t="s">
        <v>3774</v>
      </c>
      <c r="I131" s="69"/>
      <c r="J131" s="68" t="s">
        <v>161</v>
      </c>
      <c r="K131" s="68" t="s">
        <v>161</v>
      </c>
      <c r="L131" s="68" t="s">
        <v>3775</v>
      </c>
      <c r="M131" s="68" t="s">
        <v>3776</v>
      </c>
      <c r="N131" s="68" t="s">
        <v>3776</v>
      </c>
      <c r="O131" s="68" t="s">
        <v>165</v>
      </c>
      <c r="P131" s="68" t="s">
        <v>3777</v>
      </c>
    </row>
    <row r="132" customHeight="1" spans="1:16">
      <c r="A132" s="67" t="s">
        <v>3778</v>
      </c>
      <c r="B132" s="67">
        <v>33.7</v>
      </c>
      <c r="C132" s="67">
        <v>4</v>
      </c>
      <c r="D132" s="67" t="s">
        <v>5252</v>
      </c>
      <c r="E132" s="67" t="s">
        <v>3780</v>
      </c>
      <c r="F132" s="67" t="s">
        <v>12</v>
      </c>
      <c r="G132" s="67" t="s">
        <v>3781</v>
      </c>
      <c r="H132" s="67" t="s">
        <v>3782</v>
      </c>
      <c r="I132" s="67" t="s">
        <v>161</v>
      </c>
      <c r="J132" s="67" t="s">
        <v>161</v>
      </c>
      <c r="K132" s="67" t="s">
        <v>161</v>
      </c>
      <c r="L132" s="67" t="s">
        <v>3783</v>
      </c>
      <c r="M132" s="67" t="s">
        <v>3784</v>
      </c>
      <c r="N132" s="67" t="s">
        <v>3784</v>
      </c>
      <c r="O132" s="67" t="s">
        <v>165</v>
      </c>
      <c r="P132" s="67" t="s">
        <v>3785</v>
      </c>
    </row>
    <row r="133" s="61" customFormat="1" hidden="1" customHeight="1" spans="1:16">
      <c r="A133" s="65" t="s">
        <v>3786</v>
      </c>
      <c r="B133" s="65">
        <v>53.7</v>
      </c>
      <c r="C133" s="65">
        <v>5</v>
      </c>
      <c r="D133" s="65" t="s">
        <v>3787</v>
      </c>
      <c r="E133" s="65" t="s">
        <v>3788</v>
      </c>
      <c r="F133" s="65" t="s">
        <v>12</v>
      </c>
      <c r="G133" s="65" t="s">
        <v>3789</v>
      </c>
      <c r="H133" s="65" t="s">
        <v>3790</v>
      </c>
      <c r="I133" s="66" t="s">
        <v>5166</v>
      </c>
      <c r="J133" s="65" t="s">
        <v>161</v>
      </c>
      <c r="K133" s="65" t="s">
        <v>161</v>
      </c>
      <c r="L133" s="65" t="s">
        <v>3791</v>
      </c>
      <c r="M133" s="65" t="s">
        <v>3792</v>
      </c>
      <c r="N133" s="65" t="s">
        <v>3792</v>
      </c>
      <c r="O133" s="65" t="s">
        <v>165</v>
      </c>
      <c r="P133" s="65" t="s">
        <v>3793</v>
      </c>
    </row>
    <row r="134" customHeight="1" spans="1:16">
      <c r="A134" s="67" t="s">
        <v>3826</v>
      </c>
      <c r="B134" s="67">
        <v>31.79</v>
      </c>
      <c r="C134" s="67">
        <v>3</v>
      </c>
      <c r="D134" s="67" t="s">
        <v>5253</v>
      </c>
      <c r="E134" s="67" t="s">
        <v>3828</v>
      </c>
      <c r="F134" s="67" t="s">
        <v>12</v>
      </c>
      <c r="G134" s="67" t="s">
        <v>3829</v>
      </c>
      <c r="H134" s="67" t="s">
        <v>3830</v>
      </c>
      <c r="I134" s="67" t="s">
        <v>161</v>
      </c>
      <c r="J134" s="67" t="s">
        <v>161</v>
      </c>
      <c r="K134" s="67" t="s">
        <v>161</v>
      </c>
      <c r="L134" s="67" t="s">
        <v>3831</v>
      </c>
      <c r="M134" s="67" t="s">
        <v>3832</v>
      </c>
      <c r="N134" s="67" t="s">
        <v>3832</v>
      </c>
      <c r="O134" s="67" t="s">
        <v>165</v>
      </c>
      <c r="P134" s="67" t="s">
        <v>3833</v>
      </c>
    </row>
    <row r="135" s="61" customFormat="1" hidden="1" customHeight="1" spans="1:16">
      <c r="A135" s="65" t="s">
        <v>3834</v>
      </c>
      <c r="B135" s="65">
        <v>26.89</v>
      </c>
      <c r="C135" s="65">
        <v>2</v>
      </c>
      <c r="D135" s="65" t="s">
        <v>3262</v>
      </c>
      <c r="E135" s="65" t="s">
        <v>3263</v>
      </c>
      <c r="F135" s="65" t="s">
        <v>12</v>
      </c>
      <c r="G135" s="65" t="s">
        <v>3835</v>
      </c>
      <c r="H135" s="65" t="s">
        <v>3836</v>
      </c>
      <c r="I135" s="66" t="s">
        <v>5166</v>
      </c>
      <c r="J135" s="65" t="s">
        <v>161</v>
      </c>
      <c r="K135" s="65" t="s">
        <v>161</v>
      </c>
      <c r="L135" s="65" t="s">
        <v>3837</v>
      </c>
      <c r="M135" s="65" t="s">
        <v>3838</v>
      </c>
      <c r="N135" s="65" t="s">
        <v>3838</v>
      </c>
      <c r="O135" s="65" t="s">
        <v>165</v>
      </c>
      <c r="P135" s="65" t="s">
        <v>3839</v>
      </c>
    </row>
    <row r="136" customHeight="1" spans="1:16">
      <c r="A136" s="67" t="s">
        <v>3840</v>
      </c>
      <c r="B136" s="67">
        <v>59.65</v>
      </c>
      <c r="C136" s="67">
        <v>6</v>
      </c>
      <c r="D136" s="67" t="s">
        <v>5254</v>
      </c>
      <c r="E136" s="67" t="s">
        <v>3842</v>
      </c>
      <c r="F136" s="67" t="s">
        <v>12</v>
      </c>
      <c r="G136" s="67" t="s">
        <v>3843</v>
      </c>
      <c r="H136" s="67" t="s">
        <v>3844</v>
      </c>
      <c r="I136" s="67" t="s">
        <v>161</v>
      </c>
      <c r="J136" s="67" t="s">
        <v>161</v>
      </c>
      <c r="K136" s="67" t="s">
        <v>161</v>
      </c>
      <c r="L136" s="67" t="s">
        <v>3845</v>
      </c>
      <c r="M136" s="67" t="s">
        <v>3846</v>
      </c>
      <c r="N136" s="67" t="s">
        <v>3846</v>
      </c>
      <c r="O136" s="67" t="s">
        <v>165</v>
      </c>
      <c r="P136" s="67" t="s">
        <v>3847</v>
      </c>
    </row>
    <row r="137" customHeight="1" spans="1:16">
      <c r="A137" s="67" t="s">
        <v>3848</v>
      </c>
      <c r="B137" s="67">
        <v>30.85</v>
      </c>
      <c r="C137" s="67">
        <v>3</v>
      </c>
      <c r="D137" s="67" t="s">
        <v>5238</v>
      </c>
      <c r="E137" s="67" t="s">
        <v>3369</v>
      </c>
      <c r="F137" s="67" t="s">
        <v>12</v>
      </c>
      <c r="G137" s="67" t="s">
        <v>3849</v>
      </c>
      <c r="H137" s="67" t="s">
        <v>3850</v>
      </c>
      <c r="I137" s="67" t="s">
        <v>161</v>
      </c>
      <c r="J137" s="67" t="s">
        <v>161</v>
      </c>
      <c r="K137" s="67" t="s">
        <v>161</v>
      </c>
      <c r="L137" s="67" t="s">
        <v>3851</v>
      </c>
      <c r="M137" s="67" t="s">
        <v>3852</v>
      </c>
      <c r="N137" s="67" t="s">
        <v>3852</v>
      </c>
      <c r="O137" s="67" t="s">
        <v>165</v>
      </c>
      <c r="P137" s="67" t="s">
        <v>3853</v>
      </c>
    </row>
    <row r="138" customHeight="1" spans="1:16">
      <c r="A138" s="67" t="s">
        <v>3854</v>
      </c>
      <c r="B138" s="67">
        <v>30.85</v>
      </c>
      <c r="C138" s="67">
        <v>3</v>
      </c>
      <c r="D138" s="67" t="s">
        <v>5238</v>
      </c>
      <c r="E138" s="67" t="s">
        <v>3369</v>
      </c>
      <c r="F138" s="67" t="s">
        <v>12</v>
      </c>
      <c r="G138" s="67" t="s">
        <v>3855</v>
      </c>
      <c r="H138" s="67" t="s">
        <v>3856</v>
      </c>
      <c r="I138" s="67" t="s">
        <v>161</v>
      </c>
      <c r="J138" s="67" t="s">
        <v>161</v>
      </c>
      <c r="K138" s="67" t="s">
        <v>161</v>
      </c>
      <c r="L138" s="67" t="s">
        <v>3857</v>
      </c>
      <c r="M138" s="67" t="s">
        <v>3858</v>
      </c>
      <c r="N138" s="67" t="s">
        <v>3858</v>
      </c>
      <c r="O138" s="67" t="s">
        <v>165</v>
      </c>
      <c r="P138" s="67" t="s">
        <v>3859</v>
      </c>
    </row>
    <row r="139" customHeight="1" spans="1:16">
      <c r="A139" s="67" t="s">
        <v>3860</v>
      </c>
      <c r="B139" s="67">
        <v>50.07</v>
      </c>
      <c r="C139" s="67">
        <v>5</v>
      </c>
      <c r="D139" s="67" t="s">
        <v>5255</v>
      </c>
      <c r="E139" s="67" t="s">
        <v>3862</v>
      </c>
      <c r="F139" s="67" t="s">
        <v>12</v>
      </c>
      <c r="G139" s="67" t="s">
        <v>3863</v>
      </c>
      <c r="H139" s="67" t="s">
        <v>3864</v>
      </c>
      <c r="I139" s="67" t="s">
        <v>161</v>
      </c>
      <c r="J139" s="67" t="s">
        <v>161</v>
      </c>
      <c r="K139" s="67" t="s">
        <v>161</v>
      </c>
      <c r="L139" s="67" t="s">
        <v>3865</v>
      </c>
      <c r="M139" s="67" t="s">
        <v>3866</v>
      </c>
      <c r="N139" s="67" t="s">
        <v>3866</v>
      </c>
      <c r="O139" s="67" t="s">
        <v>165</v>
      </c>
      <c r="P139" s="67" t="s">
        <v>3867</v>
      </c>
    </row>
    <row r="140" customHeight="1" spans="1:16">
      <c r="A140" s="67" t="s">
        <v>3868</v>
      </c>
      <c r="B140" s="67">
        <v>35.75</v>
      </c>
      <c r="C140" s="67">
        <v>4</v>
      </c>
      <c r="D140" s="67" t="s">
        <v>5239</v>
      </c>
      <c r="E140" s="67" t="s">
        <v>3870</v>
      </c>
      <c r="F140" s="67" t="s">
        <v>12</v>
      </c>
      <c r="G140" s="67" t="s">
        <v>3871</v>
      </c>
      <c r="H140" s="67" t="s">
        <v>3872</v>
      </c>
      <c r="I140" s="67" t="s">
        <v>161</v>
      </c>
      <c r="J140" s="67" t="s">
        <v>161</v>
      </c>
      <c r="K140" s="67" t="s">
        <v>161</v>
      </c>
      <c r="L140" s="67" t="s">
        <v>3873</v>
      </c>
      <c r="M140" s="67" t="s">
        <v>3874</v>
      </c>
      <c r="N140" s="67" t="s">
        <v>3874</v>
      </c>
      <c r="O140" s="67" t="s">
        <v>165</v>
      </c>
      <c r="P140" s="67" t="s">
        <v>3875</v>
      </c>
    </row>
    <row r="141" s="61" customFormat="1" hidden="1" customHeight="1" spans="1:16">
      <c r="A141" s="65" t="s">
        <v>3876</v>
      </c>
      <c r="B141" s="65">
        <v>35.97</v>
      </c>
      <c r="C141" s="65">
        <v>4</v>
      </c>
      <c r="D141" s="65" t="s">
        <v>3877</v>
      </c>
      <c r="E141" s="65" t="s">
        <v>3878</v>
      </c>
      <c r="F141" s="65" t="s">
        <v>12</v>
      </c>
      <c r="G141" s="65" t="s">
        <v>3879</v>
      </c>
      <c r="H141" s="65" t="s">
        <v>3880</v>
      </c>
      <c r="I141" s="66" t="s">
        <v>5166</v>
      </c>
      <c r="J141" s="65" t="s">
        <v>161</v>
      </c>
      <c r="K141" s="65" t="s">
        <v>161</v>
      </c>
      <c r="L141" s="65" t="s">
        <v>3881</v>
      </c>
      <c r="M141" s="65" t="s">
        <v>3882</v>
      </c>
      <c r="N141" s="65" t="s">
        <v>3882</v>
      </c>
      <c r="O141" s="65" t="s">
        <v>165</v>
      </c>
      <c r="P141" s="65" t="s">
        <v>3883</v>
      </c>
    </row>
    <row r="142" customHeight="1" spans="1:16">
      <c r="A142" s="67" t="s">
        <v>3884</v>
      </c>
      <c r="B142" s="67">
        <v>30.85</v>
      </c>
      <c r="C142" s="67">
        <v>3</v>
      </c>
      <c r="D142" s="67" t="s">
        <v>5238</v>
      </c>
      <c r="E142" s="67" t="s">
        <v>3369</v>
      </c>
      <c r="F142" s="67" t="s">
        <v>12</v>
      </c>
      <c r="G142" s="67" t="s">
        <v>3885</v>
      </c>
      <c r="H142" s="67" t="s">
        <v>3886</v>
      </c>
      <c r="I142" s="67" t="s">
        <v>161</v>
      </c>
      <c r="J142" s="67" t="s">
        <v>161</v>
      </c>
      <c r="K142" s="67" t="s">
        <v>161</v>
      </c>
      <c r="L142" s="67" t="s">
        <v>3887</v>
      </c>
      <c r="M142" s="67" t="s">
        <v>3888</v>
      </c>
      <c r="N142" s="67" t="s">
        <v>3888</v>
      </c>
      <c r="O142" s="67" t="s">
        <v>165</v>
      </c>
      <c r="P142" s="67" t="s">
        <v>3889</v>
      </c>
    </row>
    <row r="143" customHeight="1" spans="1:16">
      <c r="A143" s="67" t="s">
        <v>3890</v>
      </c>
      <c r="B143" s="67">
        <v>26.89</v>
      </c>
      <c r="C143" s="67">
        <v>2</v>
      </c>
      <c r="D143" s="67" t="s">
        <v>5231</v>
      </c>
      <c r="E143" s="67" t="s">
        <v>3263</v>
      </c>
      <c r="F143" s="67" t="s">
        <v>12</v>
      </c>
      <c r="G143" s="67" t="s">
        <v>3891</v>
      </c>
      <c r="H143" s="67" t="s">
        <v>3892</v>
      </c>
      <c r="I143" s="67" t="s">
        <v>161</v>
      </c>
      <c r="J143" s="67" t="s">
        <v>161</v>
      </c>
      <c r="K143" s="67" t="s">
        <v>161</v>
      </c>
      <c r="L143" s="67" t="s">
        <v>3893</v>
      </c>
      <c r="M143" s="67" t="s">
        <v>3894</v>
      </c>
      <c r="N143" s="67" t="s">
        <v>3894</v>
      </c>
      <c r="O143" s="67" t="s">
        <v>165</v>
      </c>
      <c r="P143" s="67" t="s">
        <v>3895</v>
      </c>
    </row>
    <row r="144" s="61" customFormat="1" hidden="1" customHeight="1" spans="1:16">
      <c r="A144" s="65" t="s">
        <v>3911</v>
      </c>
      <c r="B144" s="65">
        <v>52.7</v>
      </c>
      <c r="C144" s="65">
        <v>5</v>
      </c>
      <c r="D144" s="65" t="s">
        <v>3912</v>
      </c>
      <c r="E144" s="65" t="s">
        <v>3913</v>
      </c>
      <c r="F144" s="65" t="s">
        <v>12</v>
      </c>
      <c r="G144" s="65" t="s">
        <v>3914</v>
      </c>
      <c r="H144" s="65" t="s">
        <v>3915</v>
      </c>
      <c r="I144" s="66" t="s">
        <v>5166</v>
      </c>
      <c r="J144" s="65" t="s">
        <v>161</v>
      </c>
      <c r="K144" s="65" t="s">
        <v>161</v>
      </c>
      <c r="L144" s="65" t="s">
        <v>3916</v>
      </c>
      <c r="M144" s="65" t="s">
        <v>3917</v>
      </c>
      <c r="N144" s="65" t="s">
        <v>3917</v>
      </c>
      <c r="O144" s="65" t="s">
        <v>165</v>
      </c>
      <c r="P144" s="65" t="s">
        <v>3918</v>
      </c>
    </row>
    <row r="145" customHeight="1" spans="1:16">
      <c r="A145" s="67" t="s">
        <v>3919</v>
      </c>
      <c r="B145" s="67">
        <v>47.8</v>
      </c>
      <c r="C145" s="67">
        <v>4</v>
      </c>
      <c r="D145" s="67" t="s">
        <v>5236</v>
      </c>
      <c r="E145" s="67" t="s">
        <v>3921</v>
      </c>
      <c r="F145" s="67" t="s">
        <v>12</v>
      </c>
      <c r="G145" s="67" t="s">
        <v>3922</v>
      </c>
      <c r="H145" s="67" t="s">
        <v>3923</v>
      </c>
      <c r="I145" s="67" t="s">
        <v>161</v>
      </c>
      <c r="J145" s="67" t="s">
        <v>161</v>
      </c>
      <c r="K145" s="67" t="s">
        <v>161</v>
      </c>
      <c r="L145" s="67" t="s">
        <v>3924</v>
      </c>
      <c r="M145" s="67" t="s">
        <v>3925</v>
      </c>
      <c r="N145" s="67" t="s">
        <v>3925</v>
      </c>
      <c r="O145" s="67" t="s">
        <v>165</v>
      </c>
      <c r="P145" s="67" t="s">
        <v>3926</v>
      </c>
    </row>
    <row r="146" customHeight="1" spans="1:16">
      <c r="A146" s="67" t="s">
        <v>3935</v>
      </c>
      <c r="B146" s="67">
        <v>26.89</v>
      </c>
      <c r="C146" s="67">
        <v>2</v>
      </c>
      <c r="D146" s="67" t="s">
        <v>5231</v>
      </c>
      <c r="E146" s="67" t="s">
        <v>3630</v>
      </c>
      <c r="F146" s="67" t="s">
        <v>12</v>
      </c>
      <c r="G146" s="67" t="s">
        <v>3936</v>
      </c>
      <c r="H146" s="67" t="s">
        <v>3937</v>
      </c>
      <c r="I146" s="67" t="s">
        <v>161</v>
      </c>
      <c r="J146" s="67" t="s">
        <v>161</v>
      </c>
      <c r="K146" s="67" t="s">
        <v>161</v>
      </c>
      <c r="L146" s="67" t="s">
        <v>3938</v>
      </c>
      <c r="M146" s="67" t="s">
        <v>3939</v>
      </c>
      <c r="N146" s="67" t="s">
        <v>3939</v>
      </c>
      <c r="O146" s="67" t="s">
        <v>165</v>
      </c>
      <c r="P146" s="67" t="s">
        <v>3940</v>
      </c>
    </row>
    <row r="147" customHeight="1" spans="1:16">
      <c r="A147" s="67" t="s">
        <v>3949</v>
      </c>
      <c r="B147" s="67">
        <v>26.89</v>
      </c>
      <c r="C147" s="67">
        <v>2</v>
      </c>
      <c r="D147" s="67" t="s">
        <v>5231</v>
      </c>
      <c r="E147" s="67" t="s">
        <v>3684</v>
      </c>
      <c r="F147" s="67" t="s">
        <v>12</v>
      </c>
      <c r="G147" s="67" t="s">
        <v>3950</v>
      </c>
      <c r="H147" s="67" t="s">
        <v>3951</v>
      </c>
      <c r="I147" s="67" t="s">
        <v>161</v>
      </c>
      <c r="J147" s="67" t="s">
        <v>161</v>
      </c>
      <c r="K147" s="67" t="s">
        <v>161</v>
      </c>
      <c r="L147" s="67" t="s">
        <v>3952</v>
      </c>
      <c r="M147" s="67" t="s">
        <v>3953</v>
      </c>
      <c r="N147" s="67" t="s">
        <v>3953</v>
      </c>
      <c r="O147" s="67" t="s">
        <v>165</v>
      </c>
      <c r="P147" s="67" t="s">
        <v>3954</v>
      </c>
    </row>
    <row r="148" customHeight="1" spans="1:16">
      <c r="A148" s="67" t="s">
        <v>3955</v>
      </c>
      <c r="B148" s="67">
        <v>26.89</v>
      </c>
      <c r="C148" s="67">
        <v>2</v>
      </c>
      <c r="D148" s="67" t="s">
        <v>5231</v>
      </c>
      <c r="E148" s="67" t="s">
        <v>3263</v>
      </c>
      <c r="F148" s="67" t="s">
        <v>12</v>
      </c>
      <c r="G148" s="67" t="s">
        <v>3956</v>
      </c>
      <c r="H148" s="67" t="s">
        <v>3957</v>
      </c>
      <c r="I148" s="67" t="s">
        <v>161</v>
      </c>
      <c r="J148" s="67" t="s">
        <v>161</v>
      </c>
      <c r="K148" s="67" t="s">
        <v>161</v>
      </c>
      <c r="L148" s="67" t="s">
        <v>3958</v>
      </c>
      <c r="M148" s="67" t="s">
        <v>3959</v>
      </c>
      <c r="N148" s="67" t="s">
        <v>3959</v>
      </c>
      <c r="O148" s="67" t="s">
        <v>165</v>
      </c>
      <c r="P148" s="67" t="s">
        <v>3960</v>
      </c>
    </row>
    <row r="149" customHeight="1" spans="1:16">
      <c r="A149" s="67" t="s">
        <v>3961</v>
      </c>
      <c r="B149" s="67">
        <v>32.39</v>
      </c>
      <c r="C149" s="67">
        <v>3</v>
      </c>
      <c r="D149" s="67" t="s">
        <v>5256</v>
      </c>
      <c r="E149" s="67" t="s">
        <v>3963</v>
      </c>
      <c r="F149" s="67" t="s">
        <v>12</v>
      </c>
      <c r="G149" s="67" t="s">
        <v>3964</v>
      </c>
      <c r="H149" s="67" t="s">
        <v>3965</v>
      </c>
      <c r="I149" s="67" t="s">
        <v>161</v>
      </c>
      <c r="J149" s="67" t="s">
        <v>161</v>
      </c>
      <c r="K149" s="67" t="s">
        <v>161</v>
      </c>
      <c r="L149" s="67" t="s">
        <v>3966</v>
      </c>
      <c r="M149" s="67" t="s">
        <v>3967</v>
      </c>
      <c r="N149" s="67" t="s">
        <v>3967</v>
      </c>
      <c r="O149" s="67" t="s">
        <v>165</v>
      </c>
      <c r="P149" s="67" t="s">
        <v>3968</v>
      </c>
    </row>
    <row r="150" customHeight="1" spans="1:16">
      <c r="A150" s="67" t="s">
        <v>3999</v>
      </c>
      <c r="B150" s="67">
        <v>52.7</v>
      </c>
      <c r="C150" s="67">
        <v>5</v>
      </c>
      <c r="D150" s="67" t="s">
        <v>5257</v>
      </c>
      <c r="E150" s="67" t="s">
        <v>4001</v>
      </c>
      <c r="F150" s="67" t="s">
        <v>12</v>
      </c>
      <c r="G150" s="67" t="s">
        <v>4002</v>
      </c>
      <c r="H150" s="67" t="s">
        <v>4003</v>
      </c>
      <c r="I150" s="67" t="s">
        <v>161</v>
      </c>
      <c r="J150" s="67" t="s">
        <v>161</v>
      </c>
      <c r="K150" s="67" t="s">
        <v>161</v>
      </c>
      <c r="L150" s="67" t="s">
        <v>4004</v>
      </c>
      <c r="M150" s="67" t="s">
        <v>4005</v>
      </c>
      <c r="N150" s="67" t="s">
        <v>4005</v>
      </c>
      <c r="O150" s="67" t="s">
        <v>165</v>
      </c>
      <c r="P150" s="67" t="s">
        <v>4006</v>
      </c>
    </row>
    <row r="151" customHeight="1" spans="1:16">
      <c r="A151" s="67" t="s">
        <v>4007</v>
      </c>
      <c r="B151" s="67">
        <v>54.75</v>
      </c>
      <c r="C151" s="67">
        <v>5</v>
      </c>
      <c r="D151" s="67" t="s">
        <v>5258</v>
      </c>
      <c r="E151" s="67" t="s">
        <v>4009</v>
      </c>
      <c r="F151" s="67" t="s">
        <v>12</v>
      </c>
      <c r="G151" s="67" t="s">
        <v>4010</v>
      </c>
      <c r="H151" s="67" t="s">
        <v>4011</v>
      </c>
      <c r="I151" s="67" t="s">
        <v>161</v>
      </c>
      <c r="J151" s="67" t="s">
        <v>161</v>
      </c>
      <c r="K151" s="67" t="s">
        <v>161</v>
      </c>
      <c r="L151" s="67" t="s">
        <v>4012</v>
      </c>
      <c r="M151" s="67" t="s">
        <v>4013</v>
      </c>
      <c r="N151" s="67" t="s">
        <v>4013</v>
      </c>
      <c r="O151" s="67" t="s">
        <v>165</v>
      </c>
      <c r="P151" s="67" t="s">
        <v>4014</v>
      </c>
    </row>
    <row r="152" customHeight="1" spans="1:16">
      <c r="A152" s="67" t="s">
        <v>4015</v>
      </c>
      <c r="B152" s="67">
        <v>28.09</v>
      </c>
      <c r="C152" s="67">
        <v>2</v>
      </c>
      <c r="D152" s="67" t="s">
        <v>5231</v>
      </c>
      <c r="E152" s="67" t="s">
        <v>3630</v>
      </c>
      <c r="F152" s="67" t="s">
        <v>12</v>
      </c>
      <c r="G152" s="67" t="s">
        <v>4016</v>
      </c>
      <c r="H152" s="67" t="s">
        <v>4017</v>
      </c>
      <c r="I152" s="67" t="s">
        <v>161</v>
      </c>
      <c r="J152" s="67" t="s">
        <v>161</v>
      </c>
      <c r="K152" s="67" t="s">
        <v>161</v>
      </c>
      <c r="L152" s="67" t="s">
        <v>4018</v>
      </c>
      <c r="M152" s="67" t="s">
        <v>4019</v>
      </c>
      <c r="N152" s="67" t="s">
        <v>4019</v>
      </c>
      <c r="O152" s="67" t="s">
        <v>165</v>
      </c>
      <c r="P152" s="67" t="s">
        <v>4020</v>
      </c>
    </row>
    <row r="153" customHeight="1" spans="1:16">
      <c r="A153" s="67" t="s">
        <v>4036</v>
      </c>
      <c r="B153" s="67">
        <v>35.75</v>
      </c>
      <c r="C153" s="67">
        <v>4</v>
      </c>
      <c r="D153" s="67" t="s">
        <v>5239</v>
      </c>
      <c r="E153" s="67" t="s">
        <v>3377</v>
      </c>
      <c r="F153" s="67" t="s">
        <v>12</v>
      </c>
      <c r="G153" s="67" t="s">
        <v>4037</v>
      </c>
      <c r="H153" s="67" t="s">
        <v>4038</v>
      </c>
      <c r="I153" s="67" t="s">
        <v>161</v>
      </c>
      <c r="J153" s="67" t="s">
        <v>161</v>
      </c>
      <c r="K153" s="67" t="s">
        <v>161</v>
      </c>
      <c r="L153" s="67" t="s">
        <v>4039</v>
      </c>
      <c r="M153" s="67" t="s">
        <v>4040</v>
      </c>
      <c r="N153" s="67" t="s">
        <v>4040</v>
      </c>
      <c r="O153" s="67" t="s">
        <v>165</v>
      </c>
      <c r="P153" s="67" t="s">
        <v>4041</v>
      </c>
    </row>
    <row r="154" s="61" customFormat="1" ht="12" hidden="1" customHeight="1" spans="1:16">
      <c r="A154" s="65" t="s">
        <v>4050</v>
      </c>
      <c r="B154" s="65">
        <v>50.07</v>
      </c>
      <c r="C154" s="65">
        <v>5</v>
      </c>
      <c r="D154" s="65" t="s">
        <v>4051</v>
      </c>
      <c r="E154" s="65" t="s">
        <v>4052</v>
      </c>
      <c r="F154" s="65" t="s">
        <v>12</v>
      </c>
      <c r="G154" s="65" t="s">
        <v>4053</v>
      </c>
      <c r="H154" s="65" t="s">
        <v>4054</v>
      </c>
      <c r="I154" s="66" t="s">
        <v>5166</v>
      </c>
      <c r="J154" s="65" t="s">
        <v>161</v>
      </c>
      <c r="K154" s="65" t="s">
        <v>161</v>
      </c>
      <c r="L154" s="65" t="s">
        <v>4055</v>
      </c>
      <c r="M154" s="65" t="s">
        <v>4056</v>
      </c>
      <c r="N154" s="65" t="s">
        <v>4056</v>
      </c>
      <c r="O154" s="65" t="s">
        <v>165</v>
      </c>
      <c r="P154" s="65" t="s">
        <v>4057</v>
      </c>
    </row>
    <row r="155" customHeight="1" spans="1:16">
      <c r="A155" s="67" t="s">
        <v>4058</v>
      </c>
      <c r="B155" s="67">
        <v>30.85</v>
      </c>
      <c r="C155" s="67">
        <v>3</v>
      </c>
      <c r="D155" s="67" t="s">
        <v>5238</v>
      </c>
      <c r="E155" s="67" t="s">
        <v>3598</v>
      </c>
      <c r="F155" s="67" t="s">
        <v>12</v>
      </c>
      <c r="G155" s="67" t="s">
        <v>4059</v>
      </c>
      <c r="H155" s="67" t="s">
        <v>4060</v>
      </c>
      <c r="I155" s="67" t="s">
        <v>161</v>
      </c>
      <c r="J155" s="67" t="s">
        <v>161</v>
      </c>
      <c r="K155" s="67" t="s">
        <v>161</v>
      </c>
      <c r="L155" s="67" t="s">
        <v>4061</v>
      </c>
      <c r="M155" s="67" t="s">
        <v>4062</v>
      </c>
      <c r="N155" s="67" t="s">
        <v>4062</v>
      </c>
      <c r="O155" s="67" t="s">
        <v>165</v>
      </c>
      <c r="P155" s="67" t="s">
        <v>4063</v>
      </c>
    </row>
    <row r="156" customHeight="1" spans="1:16">
      <c r="A156" s="67" t="s">
        <v>4072</v>
      </c>
      <c r="B156" s="67">
        <v>26.89</v>
      </c>
      <c r="C156" s="67">
        <v>2</v>
      </c>
      <c r="D156" s="67" t="s">
        <v>5243</v>
      </c>
      <c r="E156" s="67" t="s">
        <v>3638</v>
      </c>
      <c r="F156" s="67" t="s">
        <v>12</v>
      </c>
      <c r="G156" s="67" t="s">
        <v>4073</v>
      </c>
      <c r="H156" s="67" t="s">
        <v>4074</v>
      </c>
      <c r="I156" s="67" t="s">
        <v>161</v>
      </c>
      <c r="J156" s="67" t="s">
        <v>161</v>
      </c>
      <c r="K156" s="67" t="s">
        <v>161</v>
      </c>
      <c r="L156" s="67" t="s">
        <v>4075</v>
      </c>
      <c r="M156" s="67" t="s">
        <v>4076</v>
      </c>
      <c r="N156" s="67" t="s">
        <v>4076</v>
      </c>
      <c r="O156" s="67" t="s">
        <v>165</v>
      </c>
      <c r="P156" s="67" t="s">
        <v>4077</v>
      </c>
    </row>
    <row r="157" customHeight="1" spans="1:16">
      <c r="A157" s="67" t="s">
        <v>4078</v>
      </c>
      <c r="B157" s="67">
        <v>35.75</v>
      </c>
      <c r="C157" s="67">
        <v>4</v>
      </c>
      <c r="D157" s="67" t="s">
        <v>5239</v>
      </c>
      <c r="E157" s="67" t="s">
        <v>3377</v>
      </c>
      <c r="F157" s="67" t="s">
        <v>12</v>
      </c>
      <c r="G157" s="67" t="s">
        <v>4079</v>
      </c>
      <c r="H157" s="67" t="s">
        <v>4080</v>
      </c>
      <c r="I157" s="67" t="s">
        <v>161</v>
      </c>
      <c r="J157" s="67" t="s">
        <v>161</v>
      </c>
      <c r="K157" s="67" t="s">
        <v>161</v>
      </c>
      <c r="L157" s="67" t="s">
        <v>4081</v>
      </c>
      <c r="M157" s="67" t="s">
        <v>4082</v>
      </c>
      <c r="N157" s="67" t="s">
        <v>4082</v>
      </c>
      <c r="O157" s="67" t="s">
        <v>165</v>
      </c>
      <c r="P157" s="67" t="s">
        <v>4083</v>
      </c>
    </row>
    <row r="158" s="61" customFormat="1" hidden="1" customHeight="1" spans="1:16">
      <c r="A158" s="65" t="s">
        <v>4084</v>
      </c>
      <c r="B158" s="65">
        <v>26.89</v>
      </c>
      <c r="C158" s="65">
        <v>2</v>
      </c>
      <c r="D158" s="65" t="s">
        <v>3479</v>
      </c>
      <c r="E158" s="65" t="s">
        <v>3480</v>
      </c>
      <c r="F158" s="65" t="s">
        <v>12</v>
      </c>
      <c r="G158" s="65" t="s">
        <v>4085</v>
      </c>
      <c r="H158" s="65" t="s">
        <v>4086</v>
      </c>
      <c r="I158" s="66" t="s">
        <v>5166</v>
      </c>
      <c r="J158" s="65" t="s">
        <v>161</v>
      </c>
      <c r="K158" s="65" t="s">
        <v>4087</v>
      </c>
      <c r="L158" s="65" t="s">
        <v>4088</v>
      </c>
      <c r="M158" s="65" t="s">
        <v>4089</v>
      </c>
      <c r="N158" s="65" t="s">
        <v>4089</v>
      </c>
      <c r="O158" s="65" t="s">
        <v>165</v>
      </c>
      <c r="P158" s="65" t="s">
        <v>4090</v>
      </c>
    </row>
    <row r="159" customHeight="1" spans="1:16">
      <c r="A159" s="67" t="s">
        <v>4091</v>
      </c>
      <c r="B159" s="67">
        <v>26.89</v>
      </c>
      <c r="C159" s="67">
        <v>2</v>
      </c>
      <c r="D159" s="67" t="s">
        <v>5231</v>
      </c>
      <c r="E159" s="67" t="s">
        <v>3630</v>
      </c>
      <c r="F159" s="67" t="s">
        <v>12</v>
      </c>
      <c r="G159" s="67" t="s">
        <v>4092</v>
      </c>
      <c r="H159" s="67" t="s">
        <v>4093</v>
      </c>
      <c r="I159" s="67" t="s">
        <v>161</v>
      </c>
      <c r="J159" s="67" t="s">
        <v>649</v>
      </c>
      <c r="K159" s="67" t="s">
        <v>161</v>
      </c>
      <c r="L159" s="67" t="s">
        <v>4094</v>
      </c>
      <c r="M159" s="67" t="s">
        <v>4095</v>
      </c>
      <c r="N159" s="67" t="s">
        <v>4095</v>
      </c>
      <c r="O159" s="67" t="s">
        <v>165</v>
      </c>
      <c r="P159" s="67" t="s">
        <v>4096</v>
      </c>
    </row>
    <row r="160" s="61" customFormat="1" hidden="1" customHeight="1" spans="1:16">
      <c r="A160" s="65" t="s">
        <v>4105</v>
      </c>
      <c r="B160" s="65">
        <v>11.89</v>
      </c>
      <c r="C160" s="65">
        <v>2</v>
      </c>
      <c r="D160" s="65" t="s">
        <v>4106</v>
      </c>
      <c r="E160" s="65" t="s">
        <v>3654</v>
      </c>
      <c r="F160" s="65" t="s">
        <v>12</v>
      </c>
      <c r="G160" s="65" t="s">
        <v>4107</v>
      </c>
      <c r="H160" s="65" t="s">
        <v>4108</v>
      </c>
      <c r="I160" s="66" t="s">
        <v>5166</v>
      </c>
      <c r="J160" s="65" t="s">
        <v>649</v>
      </c>
      <c r="K160" s="65" t="s">
        <v>161</v>
      </c>
      <c r="L160" s="65" t="s">
        <v>4109</v>
      </c>
      <c r="M160" s="65" t="s">
        <v>4110</v>
      </c>
      <c r="N160" s="65" t="s">
        <v>4110</v>
      </c>
      <c r="O160" s="65" t="s">
        <v>165</v>
      </c>
      <c r="P160" s="65" t="s">
        <v>4111</v>
      </c>
    </row>
    <row r="161" s="61" customFormat="1" hidden="1" customHeight="1" spans="1:16">
      <c r="A161" s="65" t="s">
        <v>4120</v>
      </c>
      <c r="B161" s="65">
        <v>26.89</v>
      </c>
      <c r="C161" s="65">
        <v>2</v>
      </c>
      <c r="D161" s="65" t="s">
        <v>3262</v>
      </c>
      <c r="E161" s="65" t="s">
        <v>3263</v>
      </c>
      <c r="F161" s="65" t="s">
        <v>12</v>
      </c>
      <c r="G161" s="65" t="s">
        <v>4121</v>
      </c>
      <c r="H161" s="65" t="s">
        <v>4122</v>
      </c>
      <c r="I161" s="66" t="s">
        <v>5166</v>
      </c>
      <c r="J161" s="65" t="s">
        <v>649</v>
      </c>
      <c r="K161" s="65" t="s">
        <v>161</v>
      </c>
      <c r="L161" s="65" t="s">
        <v>4123</v>
      </c>
      <c r="M161" s="65" t="s">
        <v>4124</v>
      </c>
      <c r="N161" s="65" t="s">
        <v>4124</v>
      </c>
      <c r="O161" s="65" t="s">
        <v>165</v>
      </c>
      <c r="P161" s="65" t="s">
        <v>4125</v>
      </c>
    </row>
    <row r="162" s="61" customFormat="1" hidden="1" customHeight="1" spans="1:16">
      <c r="A162" s="65" t="s">
        <v>4126</v>
      </c>
      <c r="B162" s="65">
        <v>32.79</v>
      </c>
      <c r="C162" s="65">
        <v>3</v>
      </c>
      <c r="D162" s="65" t="s">
        <v>4127</v>
      </c>
      <c r="E162" s="65" t="s">
        <v>3417</v>
      </c>
      <c r="F162" s="65" t="s">
        <v>12</v>
      </c>
      <c r="G162" s="65" t="s">
        <v>4128</v>
      </c>
      <c r="H162" s="65" t="s">
        <v>4129</v>
      </c>
      <c r="I162" s="66" t="s">
        <v>5166</v>
      </c>
      <c r="J162" s="65" t="s">
        <v>649</v>
      </c>
      <c r="K162" s="65" t="s">
        <v>161</v>
      </c>
      <c r="L162" s="65" t="s">
        <v>4130</v>
      </c>
      <c r="M162" s="65" t="s">
        <v>4131</v>
      </c>
      <c r="N162" s="65" t="s">
        <v>4131</v>
      </c>
      <c r="O162" s="65" t="s">
        <v>165</v>
      </c>
      <c r="P162" s="65" t="s">
        <v>4132</v>
      </c>
    </row>
    <row r="163" s="61" customFormat="1" hidden="1" customHeight="1" spans="1:16">
      <c r="A163" s="65" t="s">
        <v>4133</v>
      </c>
      <c r="B163" s="65">
        <v>47.8</v>
      </c>
      <c r="C163" s="65">
        <v>4</v>
      </c>
      <c r="D163" s="65" t="s">
        <v>4134</v>
      </c>
      <c r="E163" s="65" t="s">
        <v>4135</v>
      </c>
      <c r="F163" s="65" t="s">
        <v>12</v>
      </c>
      <c r="G163" s="65" t="s">
        <v>4136</v>
      </c>
      <c r="H163" s="65" t="s">
        <v>4137</v>
      </c>
      <c r="I163" s="66" t="s">
        <v>5166</v>
      </c>
      <c r="J163" s="65" t="s">
        <v>161</v>
      </c>
      <c r="K163" s="65" t="s">
        <v>161</v>
      </c>
      <c r="L163" s="65" t="s">
        <v>4138</v>
      </c>
      <c r="M163" s="65" t="s">
        <v>4139</v>
      </c>
      <c r="N163" s="65" t="s">
        <v>4139</v>
      </c>
      <c r="O163" s="65" t="s">
        <v>165</v>
      </c>
      <c r="P163" s="65" t="s">
        <v>4140</v>
      </c>
    </row>
    <row r="164" s="61" customFormat="1" hidden="1" customHeight="1" spans="1:16">
      <c r="A164" s="65" t="s">
        <v>4162</v>
      </c>
      <c r="B164" s="65">
        <v>59.65</v>
      </c>
      <c r="C164" s="65">
        <v>6</v>
      </c>
      <c r="D164" s="65" t="s">
        <v>4163</v>
      </c>
      <c r="E164" s="65" t="s">
        <v>4164</v>
      </c>
      <c r="F164" s="65" t="s">
        <v>12</v>
      </c>
      <c r="G164" s="65" t="s">
        <v>4165</v>
      </c>
      <c r="H164" s="65" t="s">
        <v>4166</v>
      </c>
      <c r="I164" s="66" t="s">
        <v>5166</v>
      </c>
      <c r="J164" s="65" t="s">
        <v>161</v>
      </c>
      <c r="K164" s="65" t="s">
        <v>161</v>
      </c>
      <c r="L164" s="65" t="s">
        <v>4167</v>
      </c>
      <c r="M164" s="65" t="s">
        <v>4168</v>
      </c>
      <c r="N164" s="65" t="s">
        <v>4168</v>
      </c>
      <c r="O164" s="65" t="s">
        <v>165</v>
      </c>
      <c r="P164" s="65" t="s">
        <v>4169</v>
      </c>
    </row>
    <row r="165" s="61" customFormat="1" hidden="1" customHeight="1" spans="1:16">
      <c r="A165" s="65" t="s">
        <v>4170</v>
      </c>
      <c r="B165" s="65">
        <v>47.8</v>
      </c>
      <c r="C165" s="65">
        <v>4</v>
      </c>
      <c r="D165" s="65" t="s">
        <v>4171</v>
      </c>
      <c r="E165" s="65" t="s">
        <v>4172</v>
      </c>
      <c r="F165" s="65" t="s">
        <v>12</v>
      </c>
      <c r="G165" s="65" t="s">
        <v>4173</v>
      </c>
      <c r="H165" s="65" t="s">
        <v>4174</v>
      </c>
      <c r="I165" s="66" t="s">
        <v>5166</v>
      </c>
      <c r="J165" s="65" t="s">
        <v>161</v>
      </c>
      <c r="K165" s="65" t="s">
        <v>161</v>
      </c>
      <c r="L165" s="65" t="s">
        <v>4175</v>
      </c>
      <c r="M165" s="65" t="s">
        <v>4176</v>
      </c>
      <c r="N165" s="65" t="s">
        <v>4176</v>
      </c>
      <c r="O165" s="65" t="s">
        <v>165</v>
      </c>
      <c r="P165" s="65" t="s">
        <v>4177</v>
      </c>
    </row>
    <row r="166" s="61" customFormat="1" hidden="1" customHeight="1" spans="1:16">
      <c r="A166" s="65" t="s">
        <v>4178</v>
      </c>
      <c r="B166" s="65">
        <v>59.65</v>
      </c>
      <c r="C166" s="65">
        <v>6</v>
      </c>
      <c r="D166" s="65" t="s">
        <v>4179</v>
      </c>
      <c r="E166" s="65" t="s">
        <v>4180</v>
      </c>
      <c r="F166" s="65" t="s">
        <v>12</v>
      </c>
      <c r="G166" s="65" t="s">
        <v>4181</v>
      </c>
      <c r="H166" s="65" t="s">
        <v>4182</v>
      </c>
      <c r="I166" s="66" t="s">
        <v>5166</v>
      </c>
      <c r="J166" s="65" t="s">
        <v>161</v>
      </c>
      <c r="K166" s="65" t="s">
        <v>161</v>
      </c>
      <c r="L166" s="65" t="s">
        <v>4183</v>
      </c>
      <c r="M166" s="65" t="s">
        <v>4184</v>
      </c>
      <c r="N166" s="65" t="s">
        <v>4184</v>
      </c>
      <c r="O166" s="65" t="s">
        <v>165</v>
      </c>
      <c r="P166" s="65" t="s">
        <v>4185</v>
      </c>
    </row>
    <row r="167" s="62" customFormat="1" customHeight="1" spans="1:16">
      <c r="A167" s="68" t="s">
        <v>4194</v>
      </c>
      <c r="B167" s="68">
        <v>30.85</v>
      </c>
      <c r="C167" s="68">
        <v>3</v>
      </c>
      <c r="D167" s="68" t="s">
        <v>5238</v>
      </c>
      <c r="E167" s="68" t="s">
        <v>4196</v>
      </c>
      <c r="F167" s="68" t="s">
        <v>12</v>
      </c>
      <c r="G167" s="68" t="s">
        <v>4197</v>
      </c>
      <c r="H167" s="68" t="s">
        <v>4198</v>
      </c>
      <c r="I167" s="69"/>
      <c r="J167" s="68" t="s">
        <v>161</v>
      </c>
      <c r="K167" s="68" t="s">
        <v>161</v>
      </c>
      <c r="L167" s="68" t="s">
        <v>4199</v>
      </c>
      <c r="M167" s="68" t="s">
        <v>4200</v>
      </c>
      <c r="N167" s="68" t="s">
        <v>4200</v>
      </c>
      <c r="O167" s="68" t="s">
        <v>165</v>
      </c>
      <c r="P167" s="68" t="s">
        <v>4201</v>
      </c>
    </row>
    <row r="168" s="62" customFormat="1" customHeight="1" spans="1:16">
      <c r="A168" s="68" t="s">
        <v>4202</v>
      </c>
      <c r="B168" s="68">
        <v>26.89</v>
      </c>
      <c r="C168" s="68">
        <v>2</v>
      </c>
      <c r="D168" s="68" t="s">
        <v>5231</v>
      </c>
      <c r="E168" s="68" t="s">
        <v>3582</v>
      </c>
      <c r="F168" s="68" t="s">
        <v>12</v>
      </c>
      <c r="G168" s="68" t="s">
        <v>4203</v>
      </c>
      <c r="H168" s="68" t="s">
        <v>4204</v>
      </c>
      <c r="I168" s="69"/>
      <c r="J168" s="68" t="s">
        <v>161</v>
      </c>
      <c r="K168" s="68" t="s">
        <v>4205</v>
      </c>
      <c r="L168" s="68" t="s">
        <v>4206</v>
      </c>
      <c r="M168" s="68" t="s">
        <v>4207</v>
      </c>
      <c r="N168" s="68" t="s">
        <v>4207</v>
      </c>
      <c r="O168" s="68" t="s">
        <v>165</v>
      </c>
      <c r="P168" s="68" t="s">
        <v>4208</v>
      </c>
    </row>
    <row r="169" s="61" customFormat="1" hidden="1" customHeight="1" spans="1:16">
      <c r="A169" s="65" t="s">
        <v>4209</v>
      </c>
      <c r="B169" s="65">
        <v>17.96</v>
      </c>
      <c r="C169" s="65">
        <v>4</v>
      </c>
      <c r="D169" s="65" t="s">
        <v>4210</v>
      </c>
      <c r="E169" s="65" t="s">
        <v>4211</v>
      </c>
      <c r="F169" s="65" t="s">
        <v>12</v>
      </c>
      <c r="G169" s="65" t="s">
        <v>870</v>
      </c>
      <c r="H169" s="65" t="s">
        <v>4212</v>
      </c>
      <c r="I169" s="66" t="s">
        <v>5166</v>
      </c>
      <c r="J169" s="65" t="s">
        <v>649</v>
      </c>
      <c r="K169" s="65" t="s">
        <v>161</v>
      </c>
      <c r="L169" s="65" t="s">
        <v>4213</v>
      </c>
      <c r="M169" s="65" t="s">
        <v>4214</v>
      </c>
      <c r="N169" s="65" t="s">
        <v>4214</v>
      </c>
      <c r="O169" s="65" t="s">
        <v>165</v>
      </c>
      <c r="P169" s="65" t="s">
        <v>4215</v>
      </c>
    </row>
    <row r="170" s="61" customFormat="1" hidden="1" customHeight="1" spans="1:16">
      <c r="A170" s="65" t="s">
        <v>4216</v>
      </c>
      <c r="B170" s="65">
        <v>64.55</v>
      </c>
      <c r="C170" s="65">
        <v>7</v>
      </c>
      <c r="D170" s="65" t="s">
        <v>4217</v>
      </c>
      <c r="E170" s="65" t="s">
        <v>4218</v>
      </c>
      <c r="F170" s="65" t="s">
        <v>12</v>
      </c>
      <c r="G170" s="65" t="s">
        <v>4219</v>
      </c>
      <c r="H170" s="65" t="s">
        <v>4220</v>
      </c>
      <c r="I170" s="66" t="s">
        <v>5166</v>
      </c>
      <c r="J170" s="65" t="s">
        <v>649</v>
      </c>
      <c r="K170" s="65" t="s">
        <v>161</v>
      </c>
      <c r="L170" s="65" t="s">
        <v>4221</v>
      </c>
      <c r="M170" s="65" t="s">
        <v>4222</v>
      </c>
      <c r="N170" s="65" t="s">
        <v>4222</v>
      </c>
      <c r="O170" s="65" t="s">
        <v>165</v>
      </c>
      <c r="P170" s="65" t="s">
        <v>4223</v>
      </c>
    </row>
    <row r="171" s="61" customFormat="1" hidden="1" customHeight="1" spans="1:16">
      <c r="A171" s="65" t="s">
        <v>4224</v>
      </c>
      <c r="B171" s="65">
        <v>47.8</v>
      </c>
      <c r="C171" s="65">
        <v>4</v>
      </c>
      <c r="D171" s="65" t="s">
        <v>4225</v>
      </c>
      <c r="E171" s="65" t="s">
        <v>4226</v>
      </c>
      <c r="F171" s="65" t="s">
        <v>12</v>
      </c>
      <c r="G171" s="65" t="s">
        <v>4227</v>
      </c>
      <c r="H171" s="65" t="s">
        <v>4228</v>
      </c>
      <c r="I171" s="66" t="s">
        <v>5166</v>
      </c>
      <c r="J171" s="65" t="s">
        <v>649</v>
      </c>
      <c r="K171" s="65" t="s">
        <v>161</v>
      </c>
      <c r="L171" s="65" t="s">
        <v>4229</v>
      </c>
      <c r="M171" s="65" t="s">
        <v>4230</v>
      </c>
      <c r="N171" s="65" t="s">
        <v>4230</v>
      </c>
      <c r="O171" s="65" t="s">
        <v>165</v>
      </c>
      <c r="P171" s="65" t="s">
        <v>4231</v>
      </c>
    </row>
    <row r="172" s="61" customFormat="1" hidden="1" customHeight="1" spans="1:16">
      <c r="A172" s="65" t="s">
        <v>4240</v>
      </c>
      <c r="B172" s="65">
        <v>32.39</v>
      </c>
      <c r="C172" s="65">
        <v>3</v>
      </c>
      <c r="D172" s="65" t="s">
        <v>3368</v>
      </c>
      <c r="E172" s="65" t="s">
        <v>3369</v>
      </c>
      <c r="F172" s="65" t="s">
        <v>12</v>
      </c>
      <c r="G172" s="65" t="s">
        <v>4241</v>
      </c>
      <c r="H172" s="65" t="s">
        <v>4242</v>
      </c>
      <c r="I172" s="66" t="s">
        <v>5166</v>
      </c>
      <c r="J172" s="65" t="s">
        <v>649</v>
      </c>
      <c r="K172" s="65" t="s">
        <v>161</v>
      </c>
      <c r="L172" s="65" t="s">
        <v>4243</v>
      </c>
      <c r="M172" s="65" t="s">
        <v>4244</v>
      </c>
      <c r="N172" s="65" t="s">
        <v>4244</v>
      </c>
      <c r="O172" s="65" t="s">
        <v>165</v>
      </c>
      <c r="P172" s="65" t="s">
        <v>4245</v>
      </c>
    </row>
    <row r="173" s="61" customFormat="1" hidden="1" customHeight="1" spans="1:16">
      <c r="A173" s="65" t="s">
        <v>4254</v>
      </c>
      <c r="B173" s="65">
        <v>52.7</v>
      </c>
      <c r="C173" s="65">
        <v>5</v>
      </c>
      <c r="D173" s="65" t="s">
        <v>4255</v>
      </c>
      <c r="E173" s="65" t="s">
        <v>4256</v>
      </c>
      <c r="F173" s="65" t="s">
        <v>12</v>
      </c>
      <c r="G173" s="65" t="s">
        <v>4257</v>
      </c>
      <c r="H173" s="65" t="s">
        <v>4258</v>
      </c>
      <c r="I173" s="66" t="s">
        <v>5166</v>
      </c>
      <c r="J173" s="65" t="s">
        <v>649</v>
      </c>
      <c r="K173" s="65" t="s">
        <v>161</v>
      </c>
      <c r="L173" s="65" t="s">
        <v>4259</v>
      </c>
      <c r="M173" s="65" t="s">
        <v>4260</v>
      </c>
      <c r="N173" s="65" t="s">
        <v>4260</v>
      </c>
      <c r="O173" s="65" t="s">
        <v>165</v>
      </c>
      <c r="P173" s="65" t="s">
        <v>4261</v>
      </c>
    </row>
    <row r="174" customHeight="1" spans="1:16">
      <c r="A174" s="67" t="s">
        <v>4262</v>
      </c>
      <c r="B174" s="67">
        <v>26.89</v>
      </c>
      <c r="C174" s="67">
        <v>2</v>
      </c>
      <c r="D174" s="67" t="s">
        <v>5231</v>
      </c>
      <c r="E174" s="67" t="s">
        <v>3630</v>
      </c>
      <c r="F174" s="67" t="s">
        <v>12</v>
      </c>
      <c r="G174" s="67" t="s">
        <v>4263</v>
      </c>
      <c r="H174" s="67" t="s">
        <v>4264</v>
      </c>
      <c r="I174" s="67" t="s">
        <v>161</v>
      </c>
      <c r="J174" s="67" t="s">
        <v>649</v>
      </c>
      <c r="K174" s="67" t="s">
        <v>161</v>
      </c>
      <c r="L174" s="67" t="s">
        <v>4265</v>
      </c>
      <c r="M174" s="67" t="s">
        <v>4266</v>
      </c>
      <c r="N174" s="67" t="s">
        <v>4266</v>
      </c>
      <c r="O174" s="67" t="s">
        <v>165</v>
      </c>
      <c r="P174" s="67" t="s">
        <v>4267</v>
      </c>
    </row>
    <row r="175" s="61" customFormat="1" hidden="1" customHeight="1" spans="1:16">
      <c r="A175" s="65" t="s">
        <v>4268</v>
      </c>
      <c r="B175" s="65">
        <v>11.89</v>
      </c>
      <c r="C175" s="65">
        <v>2</v>
      </c>
      <c r="D175" s="65" t="s">
        <v>4106</v>
      </c>
      <c r="E175" s="65" t="s">
        <v>3654</v>
      </c>
      <c r="F175" s="65" t="s">
        <v>12</v>
      </c>
      <c r="G175" s="65" t="s">
        <v>4269</v>
      </c>
      <c r="H175" s="65" t="s">
        <v>4270</v>
      </c>
      <c r="I175" s="66" t="s">
        <v>5166</v>
      </c>
      <c r="J175" s="65" t="s">
        <v>649</v>
      </c>
      <c r="K175" s="65" t="s">
        <v>161</v>
      </c>
      <c r="L175" s="65" t="s">
        <v>4271</v>
      </c>
      <c r="M175" s="65" t="s">
        <v>4272</v>
      </c>
      <c r="N175" s="65" t="s">
        <v>4272</v>
      </c>
      <c r="O175" s="65" t="s">
        <v>165</v>
      </c>
      <c r="P175" s="65" t="s">
        <v>4273</v>
      </c>
    </row>
    <row r="176" s="61" customFormat="1" hidden="1" customHeight="1" spans="1:16">
      <c r="A176" s="65" t="s">
        <v>4274</v>
      </c>
      <c r="B176" s="65">
        <v>11.89</v>
      </c>
      <c r="C176" s="65">
        <v>2</v>
      </c>
      <c r="D176" s="65" t="s">
        <v>4106</v>
      </c>
      <c r="E176" s="65" t="s">
        <v>3654</v>
      </c>
      <c r="F176" s="65" t="s">
        <v>12</v>
      </c>
      <c r="G176" s="65" t="s">
        <v>4269</v>
      </c>
      <c r="H176" s="65" t="s">
        <v>4275</v>
      </c>
      <c r="I176" s="66" t="s">
        <v>5166</v>
      </c>
      <c r="J176" s="65" t="s">
        <v>649</v>
      </c>
      <c r="K176" s="65" t="s">
        <v>161</v>
      </c>
      <c r="L176" s="65" t="s">
        <v>4271</v>
      </c>
      <c r="M176" s="65" t="s">
        <v>4276</v>
      </c>
      <c r="N176" s="65" t="s">
        <v>4276</v>
      </c>
      <c r="O176" s="65" t="s">
        <v>165</v>
      </c>
      <c r="P176" s="65" t="s">
        <v>4277</v>
      </c>
    </row>
    <row r="177" s="61" customFormat="1" hidden="1" customHeight="1" spans="1:16">
      <c r="A177" s="65" t="s">
        <v>4278</v>
      </c>
      <c r="B177" s="65">
        <v>11.89</v>
      </c>
      <c r="C177" s="65">
        <v>2</v>
      </c>
      <c r="D177" s="65" t="s">
        <v>4106</v>
      </c>
      <c r="E177" s="65" t="s">
        <v>3654</v>
      </c>
      <c r="F177" s="65" t="s">
        <v>12</v>
      </c>
      <c r="G177" s="65" t="s">
        <v>4269</v>
      </c>
      <c r="H177" s="65" t="s">
        <v>4279</v>
      </c>
      <c r="I177" s="66" t="s">
        <v>5166</v>
      </c>
      <c r="J177" s="65" t="s">
        <v>649</v>
      </c>
      <c r="K177" s="65" t="s">
        <v>161</v>
      </c>
      <c r="L177" s="65" t="s">
        <v>4271</v>
      </c>
      <c r="M177" s="65" t="s">
        <v>4280</v>
      </c>
      <c r="N177" s="65" t="s">
        <v>4280</v>
      </c>
      <c r="O177" s="65" t="s">
        <v>165</v>
      </c>
      <c r="P177" s="65" t="s">
        <v>4281</v>
      </c>
    </row>
    <row r="178" s="61" customFormat="1" hidden="1" customHeight="1" spans="1:16">
      <c r="A178" s="65" t="s">
        <v>4282</v>
      </c>
      <c r="B178" s="65">
        <v>11.89</v>
      </c>
      <c r="C178" s="65">
        <v>2</v>
      </c>
      <c r="D178" s="65" t="s">
        <v>4106</v>
      </c>
      <c r="E178" s="65" t="s">
        <v>3654</v>
      </c>
      <c r="F178" s="65" t="s">
        <v>12</v>
      </c>
      <c r="G178" s="65" t="s">
        <v>4269</v>
      </c>
      <c r="H178" s="65" t="s">
        <v>4283</v>
      </c>
      <c r="I178" s="66" t="s">
        <v>5166</v>
      </c>
      <c r="J178" s="65" t="s">
        <v>649</v>
      </c>
      <c r="K178" s="65" t="s">
        <v>161</v>
      </c>
      <c r="L178" s="65" t="s">
        <v>4271</v>
      </c>
      <c r="M178" s="65" t="s">
        <v>4284</v>
      </c>
      <c r="N178" s="65" t="s">
        <v>4284</v>
      </c>
      <c r="O178" s="65" t="s">
        <v>165</v>
      </c>
      <c r="P178" s="65" t="s">
        <v>4285</v>
      </c>
    </row>
    <row r="179" s="61" customFormat="1" hidden="1" customHeight="1" spans="1:16">
      <c r="A179" s="65" t="s">
        <v>4286</v>
      </c>
      <c r="B179" s="65">
        <v>35.75</v>
      </c>
      <c r="C179" s="65">
        <v>4</v>
      </c>
      <c r="D179" s="65" t="s">
        <v>3376</v>
      </c>
      <c r="E179" s="65" t="s">
        <v>3377</v>
      </c>
      <c r="F179" s="65" t="s">
        <v>12</v>
      </c>
      <c r="G179" s="65" t="s">
        <v>4287</v>
      </c>
      <c r="H179" s="65" t="s">
        <v>4288</v>
      </c>
      <c r="I179" s="66" t="s">
        <v>5166</v>
      </c>
      <c r="J179" s="65" t="s">
        <v>649</v>
      </c>
      <c r="K179" s="65" t="s">
        <v>161</v>
      </c>
      <c r="L179" s="65" t="s">
        <v>4289</v>
      </c>
      <c r="M179" s="65" t="s">
        <v>4290</v>
      </c>
      <c r="N179" s="65" t="s">
        <v>4290</v>
      </c>
      <c r="O179" s="65" t="s">
        <v>165</v>
      </c>
      <c r="P179" s="65" t="s">
        <v>4291</v>
      </c>
    </row>
    <row r="180" s="61" customFormat="1" hidden="1" customHeight="1" spans="1:16">
      <c r="A180" s="65" t="s">
        <v>4292</v>
      </c>
      <c r="B180" s="65">
        <v>26.89</v>
      </c>
      <c r="C180" s="65">
        <v>2</v>
      </c>
      <c r="D180" s="65" t="s">
        <v>3262</v>
      </c>
      <c r="E180" s="65" t="s">
        <v>3263</v>
      </c>
      <c r="F180" s="65" t="s">
        <v>12</v>
      </c>
      <c r="G180" s="65" t="s">
        <v>4293</v>
      </c>
      <c r="H180" s="65" t="s">
        <v>4294</v>
      </c>
      <c r="I180" s="66" t="s">
        <v>5166</v>
      </c>
      <c r="J180" s="65" t="s">
        <v>649</v>
      </c>
      <c r="K180" s="65" t="s">
        <v>161</v>
      </c>
      <c r="L180" s="65" t="s">
        <v>4295</v>
      </c>
      <c r="M180" s="65" t="s">
        <v>4296</v>
      </c>
      <c r="N180" s="65" t="s">
        <v>4296</v>
      </c>
      <c r="O180" s="65" t="s">
        <v>165</v>
      </c>
      <c r="P180" s="65" t="s">
        <v>4297</v>
      </c>
    </row>
    <row r="181" s="61" customFormat="1" hidden="1" customHeight="1" spans="1:16">
      <c r="A181" s="65" t="s">
        <v>4298</v>
      </c>
      <c r="B181" s="65">
        <v>30.85</v>
      </c>
      <c r="C181" s="65">
        <v>3</v>
      </c>
      <c r="D181" s="65" t="s">
        <v>3368</v>
      </c>
      <c r="E181" s="65" t="s">
        <v>3369</v>
      </c>
      <c r="F181" s="65" t="s">
        <v>12</v>
      </c>
      <c r="G181" s="65" t="s">
        <v>4299</v>
      </c>
      <c r="H181" s="65" t="s">
        <v>4300</v>
      </c>
      <c r="I181" s="66" t="s">
        <v>5166</v>
      </c>
      <c r="J181" s="65" t="s">
        <v>649</v>
      </c>
      <c r="K181" s="65" t="s">
        <v>161</v>
      </c>
      <c r="L181" s="65" t="s">
        <v>4301</v>
      </c>
      <c r="M181" s="65" t="s">
        <v>4302</v>
      </c>
      <c r="N181" s="65" t="s">
        <v>4302</v>
      </c>
      <c r="O181" s="65" t="s">
        <v>165</v>
      </c>
      <c r="P181" s="65" t="s">
        <v>4303</v>
      </c>
    </row>
    <row r="182" s="61" customFormat="1" hidden="1" customHeight="1" spans="1:16">
      <c r="A182" s="65" t="s">
        <v>4304</v>
      </c>
      <c r="B182" s="65">
        <v>30.85</v>
      </c>
      <c r="C182" s="65">
        <v>3</v>
      </c>
      <c r="D182" s="65" t="s">
        <v>3368</v>
      </c>
      <c r="E182" s="65" t="s">
        <v>3369</v>
      </c>
      <c r="F182" s="65" t="s">
        <v>12</v>
      </c>
      <c r="G182" s="65" t="s">
        <v>4305</v>
      </c>
      <c r="H182" s="65" t="s">
        <v>4306</v>
      </c>
      <c r="I182" s="66" t="s">
        <v>5166</v>
      </c>
      <c r="J182" s="65" t="s">
        <v>649</v>
      </c>
      <c r="K182" s="65" t="s">
        <v>161</v>
      </c>
      <c r="L182" s="65" t="s">
        <v>4307</v>
      </c>
      <c r="M182" s="65" t="s">
        <v>4308</v>
      </c>
      <c r="N182" s="65" t="s">
        <v>4308</v>
      </c>
      <c r="O182" s="65" t="s">
        <v>165</v>
      </c>
      <c r="P182" s="65" t="s">
        <v>4309</v>
      </c>
    </row>
    <row r="183" s="61" customFormat="1" hidden="1" customHeight="1" spans="1:16">
      <c r="A183" s="65" t="s">
        <v>4310</v>
      </c>
      <c r="B183" s="65">
        <v>47.8</v>
      </c>
      <c r="C183" s="65">
        <v>4</v>
      </c>
      <c r="D183" s="65" t="s">
        <v>4311</v>
      </c>
      <c r="E183" s="65" t="s">
        <v>4312</v>
      </c>
      <c r="F183" s="65" t="s">
        <v>12</v>
      </c>
      <c r="G183" s="65" t="s">
        <v>4313</v>
      </c>
      <c r="H183" s="65" t="s">
        <v>4314</v>
      </c>
      <c r="I183" s="66" t="s">
        <v>5166</v>
      </c>
      <c r="J183" s="65" t="s">
        <v>649</v>
      </c>
      <c r="K183" s="65" t="s">
        <v>161</v>
      </c>
      <c r="L183" s="65" t="s">
        <v>4315</v>
      </c>
      <c r="M183" s="65" t="s">
        <v>4316</v>
      </c>
      <c r="N183" s="65" t="s">
        <v>4316</v>
      </c>
      <c r="O183" s="65" t="s">
        <v>165</v>
      </c>
      <c r="P183" s="65" t="s">
        <v>4317</v>
      </c>
    </row>
    <row r="184" s="61" customFormat="1" hidden="1" customHeight="1" spans="1:16">
      <c r="A184" s="65" t="s">
        <v>4318</v>
      </c>
      <c r="B184" s="65">
        <v>26.89</v>
      </c>
      <c r="C184" s="65">
        <v>2</v>
      </c>
      <c r="D184" s="65" t="s">
        <v>3262</v>
      </c>
      <c r="E184" s="65" t="s">
        <v>3263</v>
      </c>
      <c r="F184" s="65" t="s">
        <v>12</v>
      </c>
      <c r="G184" s="65" t="s">
        <v>4319</v>
      </c>
      <c r="H184" s="65" t="s">
        <v>4320</v>
      </c>
      <c r="I184" s="66" t="s">
        <v>5166</v>
      </c>
      <c r="J184" s="65" t="s">
        <v>649</v>
      </c>
      <c r="K184" s="65" t="s">
        <v>161</v>
      </c>
      <c r="L184" s="65" t="s">
        <v>4321</v>
      </c>
      <c r="M184" s="65" t="s">
        <v>4322</v>
      </c>
      <c r="N184" s="65" t="s">
        <v>4322</v>
      </c>
      <c r="O184" s="65" t="s">
        <v>165</v>
      </c>
      <c r="P184" s="65" t="s">
        <v>4323</v>
      </c>
    </row>
    <row r="185" customHeight="1" spans="1:16">
      <c r="A185" s="67" t="s">
        <v>4324</v>
      </c>
      <c r="B185" s="67">
        <v>54.75</v>
      </c>
      <c r="C185" s="67">
        <v>5</v>
      </c>
      <c r="D185" s="67" t="s">
        <v>5259</v>
      </c>
      <c r="E185" s="67" t="s">
        <v>4326</v>
      </c>
      <c r="F185" s="67" t="s">
        <v>12</v>
      </c>
      <c r="G185" s="67" t="s">
        <v>4327</v>
      </c>
      <c r="H185" s="67" t="s">
        <v>4328</v>
      </c>
      <c r="I185" s="67" t="s">
        <v>161</v>
      </c>
      <c r="J185" s="67" t="s">
        <v>649</v>
      </c>
      <c r="K185" s="67" t="s">
        <v>161</v>
      </c>
      <c r="L185" s="67" t="s">
        <v>4329</v>
      </c>
      <c r="M185" s="67" t="s">
        <v>4330</v>
      </c>
      <c r="N185" s="67" t="s">
        <v>4330</v>
      </c>
      <c r="O185" s="67" t="s">
        <v>165</v>
      </c>
      <c r="P185" s="67" t="s">
        <v>4331</v>
      </c>
    </row>
    <row r="186" s="61" customFormat="1" hidden="1" customHeight="1" spans="1:16">
      <c r="A186" s="65" t="s">
        <v>4332</v>
      </c>
      <c r="B186" s="65">
        <v>57.6</v>
      </c>
      <c r="C186" s="65">
        <v>6</v>
      </c>
      <c r="D186" s="65" t="s">
        <v>4333</v>
      </c>
      <c r="E186" s="65" t="s">
        <v>4334</v>
      </c>
      <c r="F186" s="65" t="s">
        <v>12</v>
      </c>
      <c r="G186" s="65" t="s">
        <v>4335</v>
      </c>
      <c r="H186" s="65" t="s">
        <v>4336</v>
      </c>
      <c r="I186" s="66" t="s">
        <v>5166</v>
      </c>
      <c r="J186" s="65" t="s">
        <v>649</v>
      </c>
      <c r="K186" s="65" t="s">
        <v>161</v>
      </c>
      <c r="L186" s="65" t="s">
        <v>4337</v>
      </c>
      <c r="M186" s="65" t="s">
        <v>4338</v>
      </c>
      <c r="N186" s="65" t="s">
        <v>4338</v>
      </c>
      <c r="O186" s="65" t="s">
        <v>165</v>
      </c>
      <c r="P186" s="65" t="s">
        <v>4339</v>
      </c>
    </row>
    <row r="187" s="61" customFormat="1" hidden="1" customHeight="1" spans="1:16">
      <c r="A187" s="65" t="s">
        <v>4367</v>
      </c>
      <c r="B187" s="65">
        <v>39.33</v>
      </c>
      <c r="C187" s="65">
        <v>4</v>
      </c>
      <c r="D187" s="65" t="s">
        <v>3573</v>
      </c>
      <c r="E187" s="65" t="s">
        <v>3574</v>
      </c>
      <c r="F187" s="65" t="s">
        <v>12</v>
      </c>
      <c r="G187" s="65" t="s">
        <v>4368</v>
      </c>
      <c r="H187" s="65" t="s">
        <v>4369</v>
      </c>
      <c r="I187" s="66" t="s">
        <v>5166</v>
      </c>
      <c r="J187" s="65" t="s">
        <v>649</v>
      </c>
      <c r="K187" s="65" t="s">
        <v>161</v>
      </c>
      <c r="L187" s="65" t="s">
        <v>4370</v>
      </c>
      <c r="M187" s="65" t="s">
        <v>4371</v>
      </c>
      <c r="N187" s="65" t="s">
        <v>4371</v>
      </c>
      <c r="O187" s="65" t="s">
        <v>165</v>
      </c>
      <c r="P187" s="65" t="s">
        <v>4372</v>
      </c>
    </row>
    <row r="188" s="61" customFormat="1" hidden="1" customHeight="1" spans="1:16">
      <c r="A188" s="65" t="s">
        <v>4379</v>
      </c>
      <c r="B188" s="65">
        <v>35.75</v>
      </c>
      <c r="C188" s="65">
        <v>4</v>
      </c>
      <c r="D188" s="65" t="s">
        <v>4380</v>
      </c>
      <c r="E188" s="65" t="s">
        <v>4381</v>
      </c>
      <c r="F188" s="65" t="s">
        <v>12</v>
      </c>
      <c r="G188" s="65" t="s">
        <v>4382</v>
      </c>
      <c r="H188" s="65" t="s">
        <v>4383</v>
      </c>
      <c r="I188" s="66" t="s">
        <v>5166</v>
      </c>
      <c r="J188" s="65" t="s">
        <v>649</v>
      </c>
      <c r="K188" s="65" t="s">
        <v>161</v>
      </c>
      <c r="L188" s="65" t="s">
        <v>4384</v>
      </c>
      <c r="M188" s="65" t="s">
        <v>4385</v>
      </c>
      <c r="N188" s="65" t="s">
        <v>4385</v>
      </c>
      <c r="O188" s="65" t="s">
        <v>165</v>
      </c>
      <c r="P188" s="65" t="s">
        <v>4386</v>
      </c>
    </row>
    <row r="189" s="61" customFormat="1" hidden="1" customHeight="1" spans="1:16">
      <c r="A189" s="65" t="s">
        <v>4387</v>
      </c>
      <c r="B189" s="65">
        <v>52.7</v>
      </c>
      <c r="C189" s="65">
        <v>5</v>
      </c>
      <c r="D189" s="65" t="s">
        <v>4388</v>
      </c>
      <c r="E189" s="65" t="s">
        <v>4389</v>
      </c>
      <c r="F189" s="65" t="s">
        <v>12</v>
      </c>
      <c r="G189" s="65" t="s">
        <v>4390</v>
      </c>
      <c r="H189" s="65" t="s">
        <v>4391</v>
      </c>
      <c r="I189" s="66" t="s">
        <v>5166</v>
      </c>
      <c r="J189" s="65" t="s">
        <v>649</v>
      </c>
      <c r="K189" s="65" t="s">
        <v>161</v>
      </c>
      <c r="L189" s="65" t="s">
        <v>4392</v>
      </c>
      <c r="M189" s="65" t="s">
        <v>4393</v>
      </c>
      <c r="N189" s="65" t="s">
        <v>4393</v>
      </c>
      <c r="O189" s="65" t="s">
        <v>165</v>
      </c>
      <c r="P189" s="65" t="s">
        <v>4394</v>
      </c>
    </row>
    <row r="190" s="61" customFormat="1" hidden="1" customHeight="1" spans="1:16">
      <c r="A190" s="65" t="s">
        <v>4403</v>
      </c>
      <c r="B190" s="65">
        <v>37.54</v>
      </c>
      <c r="C190" s="65">
        <v>4</v>
      </c>
      <c r="D190" s="65" t="s">
        <v>3376</v>
      </c>
      <c r="E190" s="65" t="s">
        <v>3377</v>
      </c>
      <c r="F190" s="65" t="s">
        <v>12</v>
      </c>
      <c r="G190" s="65" t="s">
        <v>4404</v>
      </c>
      <c r="H190" s="65" t="s">
        <v>4405</v>
      </c>
      <c r="I190" s="66" t="s">
        <v>5166</v>
      </c>
      <c r="J190" s="65" t="s">
        <v>649</v>
      </c>
      <c r="K190" s="65" t="s">
        <v>161</v>
      </c>
      <c r="L190" s="65" t="s">
        <v>4406</v>
      </c>
      <c r="M190" s="65" t="s">
        <v>4407</v>
      </c>
      <c r="N190" s="65" t="s">
        <v>4407</v>
      </c>
      <c r="O190" s="65" t="s">
        <v>165</v>
      </c>
      <c r="P190" s="65" t="s">
        <v>4408</v>
      </c>
    </row>
    <row r="191" customHeight="1" spans="1:16">
      <c r="A191" s="67" t="s">
        <v>4421</v>
      </c>
      <c r="B191" s="67">
        <v>26.89</v>
      </c>
      <c r="C191" s="67">
        <v>2</v>
      </c>
      <c r="D191" s="67" t="s">
        <v>5231</v>
      </c>
      <c r="E191" s="67" t="s">
        <v>3729</v>
      </c>
      <c r="F191" s="67" t="s">
        <v>12</v>
      </c>
      <c r="G191" s="67" t="s">
        <v>4422</v>
      </c>
      <c r="H191" s="67" t="s">
        <v>4423</v>
      </c>
      <c r="I191" s="67" t="s">
        <v>161</v>
      </c>
      <c r="J191" s="67" t="s">
        <v>649</v>
      </c>
      <c r="K191" s="67" t="s">
        <v>161</v>
      </c>
      <c r="L191" s="67" t="s">
        <v>4424</v>
      </c>
      <c r="M191" s="67" t="s">
        <v>4425</v>
      </c>
      <c r="N191" s="67" t="s">
        <v>4425</v>
      </c>
      <c r="O191" s="67" t="s">
        <v>165</v>
      </c>
      <c r="P191" s="67" t="s">
        <v>4426</v>
      </c>
    </row>
    <row r="192" s="61" customFormat="1" hidden="1" customHeight="1" spans="1:16">
      <c r="A192" s="65" t="s">
        <v>4427</v>
      </c>
      <c r="B192" s="65">
        <v>48.8</v>
      </c>
      <c r="C192" s="65">
        <v>3</v>
      </c>
      <c r="D192" s="65" t="s">
        <v>4428</v>
      </c>
      <c r="E192" s="65" t="s">
        <v>4429</v>
      </c>
      <c r="F192" s="65" t="s">
        <v>12</v>
      </c>
      <c r="G192" s="65" t="s">
        <v>4430</v>
      </c>
      <c r="H192" s="65" t="s">
        <v>4431</v>
      </c>
      <c r="I192" s="66" t="s">
        <v>5166</v>
      </c>
      <c r="J192" s="65" t="s">
        <v>649</v>
      </c>
      <c r="K192" s="65" t="s">
        <v>161</v>
      </c>
      <c r="L192" s="65" t="s">
        <v>4432</v>
      </c>
      <c r="M192" s="65" t="s">
        <v>4433</v>
      </c>
      <c r="N192" s="65" t="s">
        <v>4433</v>
      </c>
      <c r="O192" s="65" t="s">
        <v>165</v>
      </c>
      <c r="P192" s="65" t="s">
        <v>4434</v>
      </c>
    </row>
    <row r="193" s="61" customFormat="1" hidden="1" customHeight="1" spans="1:16">
      <c r="A193" s="65" t="s">
        <v>4435</v>
      </c>
      <c r="B193" s="65">
        <v>59.65</v>
      </c>
      <c r="C193" s="65">
        <v>6</v>
      </c>
      <c r="D193" s="65" t="s">
        <v>4436</v>
      </c>
      <c r="E193" s="65" t="s">
        <v>4437</v>
      </c>
      <c r="F193" s="65" t="s">
        <v>12</v>
      </c>
      <c r="G193" s="65" t="s">
        <v>4438</v>
      </c>
      <c r="H193" s="65" t="s">
        <v>4439</v>
      </c>
      <c r="I193" s="66" t="s">
        <v>5166</v>
      </c>
      <c r="J193" s="65" t="s">
        <v>649</v>
      </c>
      <c r="K193" s="65" t="s">
        <v>161</v>
      </c>
      <c r="L193" s="65" t="s">
        <v>4440</v>
      </c>
      <c r="M193" s="65" t="s">
        <v>4441</v>
      </c>
      <c r="N193" s="65" t="s">
        <v>4441</v>
      </c>
      <c r="O193" s="65" t="s">
        <v>165</v>
      </c>
      <c r="P193" s="65" t="s">
        <v>4442</v>
      </c>
    </row>
    <row r="194" s="61" customFormat="1" hidden="1" customHeight="1" spans="1:16">
      <c r="A194" s="65" t="s">
        <v>4443</v>
      </c>
      <c r="B194" s="65">
        <v>30.85</v>
      </c>
      <c r="C194" s="65">
        <v>3</v>
      </c>
      <c r="D194" s="65" t="s">
        <v>3368</v>
      </c>
      <c r="E194" s="65" t="s">
        <v>3369</v>
      </c>
      <c r="F194" s="65" t="s">
        <v>12</v>
      </c>
      <c r="G194" s="65" t="s">
        <v>4444</v>
      </c>
      <c r="H194" s="65" t="s">
        <v>4445</v>
      </c>
      <c r="I194" s="66" t="s">
        <v>5166</v>
      </c>
      <c r="J194" s="65" t="s">
        <v>649</v>
      </c>
      <c r="K194" s="65" t="s">
        <v>161</v>
      </c>
      <c r="L194" s="65" t="s">
        <v>4446</v>
      </c>
      <c r="M194" s="65" t="s">
        <v>4447</v>
      </c>
      <c r="N194" s="65" t="s">
        <v>4447</v>
      </c>
      <c r="O194" s="65" t="s">
        <v>165</v>
      </c>
      <c r="P194" s="65" t="s">
        <v>4448</v>
      </c>
    </row>
    <row r="195" s="61" customFormat="1" hidden="1" customHeight="1" spans="1:16">
      <c r="A195" s="65" t="s">
        <v>4456</v>
      </c>
      <c r="B195" s="65">
        <v>26.89</v>
      </c>
      <c r="C195" s="65">
        <v>2</v>
      </c>
      <c r="D195" s="65" t="s">
        <v>3262</v>
      </c>
      <c r="E195" s="65" t="s">
        <v>3263</v>
      </c>
      <c r="F195" s="65" t="s">
        <v>12</v>
      </c>
      <c r="G195" s="65" t="s">
        <v>4457</v>
      </c>
      <c r="H195" s="65" t="s">
        <v>4458</v>
      </c>
      <c r="I195" s="66" t="s">
        <v>5166</v>
      </c>
      <c r="J195" s="65" t="s">
        <v>649</v>
      </c>
      <c r="K195" s="65" t="s">
        <v>161</v>
      </c>
      <c r="L195" s="65" t="s">
        <v>4459</v>
      </c>
      <c r="M195" s="65" t="s">
        <v>4460</v>
      </c>
      <c r="N195" s="65" t="s">
        <v>4460</v>
      </c>
      <c r="O195" s="65" t="s">
        <v>165</v>
      </c>
      <c r="P195" s="65" t="s">
        <v>4461</v>
      </c>
    </row>
    <row r="196" s="61" customFormat="1" hidden="1" customHeight="1" spans="1:16">
      <c r="A196" s="65" t="s">
        <v>4468</v>
      </c>
      <c r="B196" s="65">
        <v>16.79</v>
      </c>
      <c r="C196" s="65">
        <v>3</v>
      </c>
      <c r="D196" s="65" t="s">
        <v>4469</v>
      </c>
      <c r="E196" s="65" t="s">
        <v>3654</v>
      </c>
      <c r="F196" s="65" t="s">
        <v>12</v>
      </c>
      <c r="G196" s="65" t="s">
        <v>4470</v>
      </c>
      <c r="H196" s="65" t="s">
        <v>4471</v>
      </c>
      <c r="I196" s="66" t="s">
        <v>5166</v>
      </c>
      <c r="J196" s="65" t="s">
        <v>649</v>
      </c>
      <c r="K196" s="65" t="s">
        <v>161</v>
      </c>
      <c r="L196" s="65" t="s">
        <v>4472</v>
      </c>
      <c r="M196" s="65" t="s">
        <v>4473</v>
      </c>
      <c r="N196" s="65" t="s">
        <v>4473</v>
      </c>
      <c r="O196" s="65" t="s">
        <v>165</v>
      </c>
      <c r="P196" s="65" t="s">
        <v>4474</v>
      </c>
    </row>
    <row r="197" s="61" customFormat="1" hidden="1" customHeight="1" spans="1:16">
      <c r="A197" s="65" t="s">
        <v>4475</v>
      </c>
      <c r="B197" s="65">
        <v>33.8</v>
      </c>
      <c r="C197" s="65">
        <v>3</v>
      </c>
      <c r="D197" s="65" t="s">
        <v>4476</v>
      </c>
      <c r="E197" s="65" t="s">
        <v>3397</v>
      </c>
      <c r="F197" s="65" t="s">
        <v>12</v>
      </c>
      <c r="G197" s="65" t="s">
        <v>4477</v>
      </c>
      <c r="H197" s="65" t="s">
        <v>4478</v>
      </c>
      <c r="I197" s="66" t="s">
        <v>5166</v>
      </c>
      <c r="J197" s="65" t="s">
        <v>649</v>
      </c>
      <c r="K197" s="65" t="s">
        <v>161</v>
      </c>
      <c r="L197" s="65" t="s">
        <v>4479</v>
      </c>
      <c r="M197" s="65" t="s">
        <v>4480</v>
      </c>
      <c r="N197" s="65" t="s">
        <v>4480</v>
      </c>
      <c r="O197" s="65" t="s">
        <v>165</v>
      </c>
      <c r="P197" s="65" t="s">
        <v>4481</v>
      </c>
    </row>
    <row r="198" s="61" customFormat="1" hidden="1" customHeight="1" spans="1:16">
      <c r="A198" s="65" t="s">
        <v>4512</v>
      </c>
      <c r="B198" s="65">
        <v>67.4</v>
      </c>
      <c r="C198" s="65">
        <v>8</v>
      </c>
      <c r="D198" s="65" t="s">
        <v>4513</v>
      </c>
      <c r="E198" s="65" t="s">
        <v>4514</v>
      </c>
      <c r="F198" s="65" t="s">
        <v>12</v>
      </c>
      <c r="G198" s="65" t="s">
        <v>4515</v>
      </c>
      <c r="H198" s="65" t="s">
        <v>4516</v>
      </c>
      <c r="I198" s="66" t="s">
        <v>5166</v>
      </c>
      <c r="J198" s="65" t="s">
        <v>649</v>
      </c>
      <c r="K198" s="65" t="s">
        <v>161</v>
      </c>
      <c r="L198" s="65" t="s">
        <v>4517</v>
      </c>
      <c r="M198" s="65" t="s">
        <v>4518</v>
      </c>
      <c r="N198" s="65" t="s">
        <v>4518</v>
      </c>
      <c r="O198" s="65" t="s">
        <v>165</v>
      </c>
      <c r="P198" s="65" t="s">
        <v>4519</v>
      </c>
    </row>
    <row r="199" s="61" customFormat="1" hidden="1" customHeight="1" spans="1:16">
      <c r="A199" s="65" t="s">
        <v>4535</v>
      </c>
      <c r="B199" s="65">
        <v>52.7</v>
      </c>
      <c r="C199" s="65">
        <v>5</v>
      </c>
      <c r="D199" s="65" t="s">
        <v>4536</v>
      </c>
      <c r="E199" s="65" t="s">
        <v>4537</v>
      </c>
      <c r="F199" s="65" t="s">
        <v>12</v>
      </c>
      <c r="G199" s="65" t="s">
        <v>4538</v>
      </c>
      <c r="H199" s="65" t="s">
        <v>4539</v>
      </c>
      <c r="I199" s="66" t="s">
        <v>5166</v>
      </c>
      <c r="J199" s="65" t="s">
        <v>649</v>
      </c>
      <c r="K199" s="65" t="s">
        <v>161</v>
      </c>
      <c r="L199" s="65" t="s">
        <v>4540</v>
      </c>
      <c r="M199" s="65" t="s">
        <v>4541</v>
      </c>
      <c r="N199" s="65" t="s">
        <v>4541</v>
      </c>
      <c r="O199" s="65" t="s">
        <v>165</v>
      </c>
      <c r="P199" s="65" t="s">
        <v>4542</v>
      </c>
    </row>
    <row r="200" s="61" customFormat="1" hidden="1" customHeight="1" spans="1:16">
      <c r="A200" s="65" t="s">
        <v>4543</v>
      </c>
      <c r="B200" s="65">
        <v>16.79</v>
      </c>
      <c r="C200" s="65">
        <v>3</v>
      </c>
      <c r="D200" s="65" t="s">
        <v>4469</v>
      </c>
      <c r="E200" s="65" t="s">
        <v>3654</v>
      </c>
      <c r="F200" s="65" t="s">
        <v>12</v>
      </c>
      <c r="G200" s="65" t="s">
        <v>4544</v>
      </c>
      <c r="H200" s="65" t="s">
        <v>4545</v>
      </c>
      <c r="I200" s="66" t="s">
        <v>5166</v>
      </c>
      <c r="J200" s="65" t="s">
        <v>649</v>
      </c>
      <c r="K200" s="65" t="s">
        <v>161</v>
      </c>
      <c r="L200" s="65" t="s">
        <v>4546</v>
      </c>
      <c r="M200" s="65" t="s">
        <v>4547</v>
      </c>
      <c r="N200" s="65" t="s">
        <v>4547</v>
      </c>
      <c r="O200" s="65" t="s">
        <v>165</v>
      </c>
      <c r="P200" s="65" t="s">
        <v>4548</v>
      </c>
    </row>
    <row r="201" customHeight="1" spans="1:16">
      <c r="A201" s="67" t="s">
        <v>4549</v>
      </c>
      <c r="B201" s="67">
        <v>38.7</v>
      </c>
      <c r="C201" s="67">
        <v>4</v>
      </c>
      <c r="D201" s="67" t="s">
        <v>5240</v>
      </c>
      <c r="E201" s="67" t="s">
        <v>3397</v>
      </c>
      <c r="F201" s="67" t="s">
        <v>12</v>
      </c>
      <c r="G201" s="67" t="s">
        <v>4550</v>
      </c>
      <c r="H201" s="67" t="s">
        <v>4551</v>
      </c>
      <c r="I201" s="67" t="s">
        <v>161</v>
      </c>
      <c r="J201" s="67" t="s">
        <v>649</v>
      </c>
      <c r="K201" s="67" t="s">
        <v>161</v>
      </c>
      <c r="L201" s="67" t="s">
        <v>4552</v>
      </c>
      <c r="M201" s="67" t="s">
        <v>4553</v>
      </c>
      <c r="N201" s="67" t="s">
        <v>4553</v>
      </c>
      <c r="O201" s="67" t="s">
        <v>165</v>
      </c>
      <c r="P201" s="67" t="s">
        <v>4554</v>
      </c>
    </row>
    <row r="202" s="61" customFormat="1" hidden="1" customHeight="1" spans="1:16">
      <c r="A202" s="65" t="s">
        <v>4555</v>
      </c>
      <c r="B202" s="65">
        <v>26.89</v>
      </c>
      <c r="C202" s="65">
        <v>2</v>
      </c>
      <c r="D202" s="65" t="s">
        <v>3262</v>
      </c>
      <c r="E202" s="65" t="s">
        <v>3263</v>
      </c>
      <c r="F202" s="65" t="s">
        <v>12</v>
      </c>
      <c r="G202" s="65" t="s">
        <v>4556</v>
      </c>
      <c r="H202" s="65" t="s">
        <v>4557</v>
      </c>
      <c r="I202" s="66" t="s">
        <v>5166</v>
      </c>
      <c r="J202" s="65" t="s">
        <v>649</v>
      </c>
      <c r="K202" s="65" t="s">
        <v>161</v>
      </c>
      <c r="L202" s="65" t="s">
        <v>4558</v>
      </c>
      <c r="M202" s="65" t="s">
        <v>4559</v>
      </c>
      <c r="N202" s="65" t="s">
        <v>4559</v>
      </c>
      <c r="O202" s="65" t="s">
        <v>165</v>
      </c>
      <c r="P202" s="65" t="s">
        <v>4560</v>
      </c>
    </row>
    <row r="203" s="61" customFormat="1" hidden="1" customHeight="1" spans="1:16">
      <c r="A203" s="65" t="s">
        <v>4561</v>
      </c>
      <c r="B203" s="65">
        <v>50</v>
      </c>
      <c r="C203" s="65">
        <v>4</v>
      </c>
      <c r="D203" s="65" t="s">
        <v>4562</v>
      </c>
      <c r="E203" s="65" t="s">
        <v>4563</v>
      </c>
      <c r="F203" s="65" t="s">
        <v>12</v>
      </c>
      <c r="G203" s="65" t="s">
        <v>4564</v>
      </c>
      <c r="H203" s="65" t="s">
        <v>4565</v>
      </c>
      <c r="I203" s="66" t="s">
        <v>5166</v>
      </c>
      <c r="J203" s="65" t="s">
        <v>649</v>
      </c>
      <c r="K203" s="65" t="s">
        <v>161</v>
      </c>
      <c r="L203" s="65" t="s">
        <v>4566</v>
      </c>
      <c r="M203" s="65" t="s">
        <v>4567</v>
      </c>
      <c r="N203" s="65" t="s">
        <v>4567</v>
      </c>
      <c r="O203" s="65" t="s">
        <v>165</v>
      </c>
      <c r="P203" s="65" t="s">
        <v>4568</v>
      </c>
    </row>
    <row r="204" s="61" customFormat="1" hidden="1" customHeight="1" spans="1:16">
      <c r="A204" s="65" t="s">
        <v>4569</v>
      </c>
      <c r="B204" s="65">
        <v>35.75</v>
      </c>
      <c r="C204" s="65">
        <v>4</v>
      </c>
      <c r="D204" s="65" t="s">
        <v>3376</v>
      </c>
      <c r="E204" s="65" t="s">
        <v>3377</v>
      </c>
      <c r="F204" s="65" t="s">
        <v>12</v>
      </c>
      <c r="G204" s="65" t="s">
        <v>4570</v>
      </c>
      <c r="H204" s="65" t="s">
        <v>4571</v>
      </c>
      <c r="I204" s="66" t="s">
        <v>5166</v>
      </c>
      <c r="J204" s="65" t="s">
        <v>649</v>
      </c>
      <c r="K204" s="65" t="s">
        <v>161</v>
      </c>
      <c r="L204" s="65" t="s">
        <v>4572</v>
      </c>
      <c r="M204" s="65" t="s">
        <v>4573</v>
      </c>
      <c r="N204" s="65" t="s">
        <v>4573</v>
      </c>
      <c r="O204" s="65" t="s">
        <v>165</v>
      </c>
      <c r="P204" s="65" t="s">
        <v>4574</v>
      </c>
    </row>
    <row r="205" s="61" customFormat="1" hidden="1" customHeight="1" spans="1:16">
      <c r="A205" s="65" t="s">
        <v>4575</v>
      </c>
      <c r="B205" s="65">
        <v>17.69</v>
      </c>
      <c r="C205" s="65">
        <v>4</v>
      </c>
      <c r="D205" s="65" t="s">
        <v>3653</v>
      </c>
      <c r="E205" s="65" t="s">
        <v>3654</v>
      </c>
      <c r="F205" s="65" t="s">
        <v>12</v>
      </c>
      <c r="G205" s="65" t="s">
        <v>4576</v>
      </c>
      <c r="H205" s="65" t="s">
        <v>4577</v>
      </c>
      <c r="I205" s="66" t="s">
        <v>5166</v>
      </c>
      <c r="J205" s="65" t="s">
        <v>649</v>
      </c>
      <c r="K205" s="65" t="s">
        <v>161</v>
      </c>
      <c r="L205" s="65" t="s">
        <v>4578</v>
      </c>
      <c r="M205" s="65" t="s">
        <v>4579</v>
      </c>
      <c r="N205" s="65" t="s">
        <v>4579</v>
      </c>
      <c r="O205" s="65" t="s">
        <v>165</v>
      </c>
      <c r="P205" s="65" t="s">
        <v>4580</v>
      </c>
    </row>
    <row r="206" s="61" customFormat="1" hidden="1" customHeight="1" spans="1:16">
      <c r="A206" s="65" t="s">
        <v>4581</v>
      </c>
      <c r="B206" s="65">
        <v>31.79</v>
      </c>
      <c r="C206" s="65">
        <v>3</v>
      </c>
      <c r="D206" s="65" t="s">
        <v>4582</v>
      </c>
      <c r="E206" s="65" t="s">
        <v>4583</v>
      </c>
      <c r="F206" s="65" t="s">
        <v>12</v>
      </c>
      <c r="G206" s="65" t="s">
        <v>4584</v>
      </c>
      <c r="H206" s="65" t="s">
        <v>4585</v>
      </c>
      <c r="I206" s="66" t="s">
        <v>5166</v>
      </c>
      <c r="J206" s="65" t="s">
        <v>649</v>
      </c>
      <c r="K206" s="65" t="s">
        <v>161</v>
      </c>
      <c r="L206" s="65" t="s">
        <v>4586</v>
      </c>
      <c r="M206" s="65" t="s">
        <v>4587</v>
      </c>
      <c r="N206" s="65" t="s">
        <v>4587</v>
      </c>
      <c r="O206" s="65" t="s">
        <v>165</v>
      </c>
      <c r="P206" s="65" t="s">
        <v>4588</v>
      </c>
    </row>
    <row r="207" customHeight="1" spans="1:16">
      <c r="A207" s="67" t="s">
        <v>4589</v>
      </c>
      <c r="B207" s="67">
        <v>18.74</v>
      </c>
      <c r="C207" s="67">
        <v>4</v>
      </c>
      <c r="D207" s="67" t="s">
        <v>5260</v>
      </c>
      <c r="E207" s="67" t="s">
        <v>4591</v>
      </c>
      <c r="F207" s="67" t="s">
        <v>12</v>
      </c>
      <c r="G207" s="67" t="s">
        <v>4592</v>
      </c>
      <c r="H207" s="67" t="s">
        <v>4593</v>
      </c>
      <c r="I207" s="67" t="s">
        <v>161</v>
      </c>
      <c r="J207" s="67" t="s">
        <v>649</v>
      </c>
      <c r="K207" s="67" t="s">
        <v>161</v>
      </c>
      <c r="L207" s="67" t="s">
        <v>4594</v>
      </c>
      <c r="M207" s="67" t="s">
        <v>4595</v>
      </c>
      <c r="N207" s="67" t="s">
        <v>4595</v>
      </c>
      <c r="O207" s="67" t="s">
        <v>165</v>
      </c>
      <c r="P207" s="67" t="s">
        <v>4596</v>
      </c>
    </row>
    <row r="208" s="61" customFormat="1" hidden="1" customHeight="1" spans="1:16">
      <c r="A208" s="65" t="s">
        <v>4605</v>
      </c>
      <c r="B208" s="65">
        <v>26.89</v>
      </c>
      <c r="C208" s="65">
        <v>2</v>
      </c>
      <c r="D208" s="65" t="s">
        <v>3479</v>
      </c>
      <c r="E208" s="65" t="s">
        <v>3480</v>
      </c>
      <c r="F208" s="65" t="s">
        <v>12</v>
      </c>
      <c r="G208" s="65" t="s">
        <v>4606</v>
      </c>
      <c r="H208" s="65" t="s">
        <v>4607</v>
      </c>
      <c r="I208" s="66" t="s">
        <v>5166</v>
      </c>
      <c r="J208" s="65" t="s">
        <v>649</v>
      </c>
      <c r="K208" s="65" t="s">
        <v>161</v>
      </c>
      <c r="L208" s="65" t="s">
        <v>4608</v>
      </c>
      <c r="M208" s="65" t="s">
        <v>4609</v>
      </c>
      <c r="N208" s="65" t="s">
        <v>4609</v>
      </c>
      <c r="O208" s="65" t="s">
        <v>165</v>
      </c>
      <c r="P208" s="65" t="s">
        <v>4610</v>
      </c>
    </row>
    <row r="209" s="61" customFormat="1" hidden="1" customHeight="1" spans="1:16">
      <c r="A209" s="65" t="s">
        <v>4611</v>
      </c>
      <c r="B209" s="65">
        <v>36.35</v>
      </c>
      <c r="C209" s="65">
        <v>8</v>
      </c>
      <c r="D209" s="65" t="s">
        <v>4612</v>
      </c>
      <c r="E209" s="65" t="s">
        <v>4613</v>
      </c>
      <c r="F209" s="65" t="s">
        <v>12</v>
      </c>
      <c r="G209" s="65" t="s">
        <v>4614</v>
      </c>
      <c r="H209" s="65" t="s">
        <v>4615</v>
      </c>
      <c r="I209" s="66" t="s">
        <v>5166</v>
      </c>
      <c r="J209" s="65" t="s">
        <v>649</v>
      </c>
      <c r="K209" s="65" t="s">
        <v>161</v>
      </c>
      <c r="L209" s="65" t="s">
        <v>4616</v>
      </c>
      <c r="M209" s="65" t="s">
        <v>4617</v>
      </c>
      <c r="N209" s="65" t="s">
        <v>4617</v>
      </c>
      <c r="O209" s="65" t="s">
        <v>165</v>
      </c>
      <c r="P209" s="65" t="s">
        <v>4618</v>
      </c>
    </row>
    <row r="210" s="61" customFormat="1" hidden="1" customHeight="1" spans="1:16">
      <c r="A210" s="65" t="s">
        <v>4636</v>
      </c>
      <c r="B210" s="65">
        <v>26.89</v>
      </c>
      <c r="C210" s="65">
        <v>2</v>
      </c>
      <c r="D210" s="65" t="s">
        <v>3262</v>
      </c>
      <c r="E210" s="65" t="s">
        <v>3263</v>
      </c>
      <c r="F210" s="65" t="s">
        <v>12</v>
      </c>
      <c r="G210" s="65" t="s">
        <v>4637</v>
      </c>
      <c r="H210" s="65" t="s">
        <v>4638</v>
      </c>
      <c r="I210" s="66" t="s">
        <v>5166</v>
      </c>
      <c r="J210" s="65" t="s">
        <v>649</v>
      </c>
      <c r="K210" s="65" t="s">
        <v>161</v>
      </c>
      <c r="L210" s="65" t="s">
        <v>4639</v>
      </c>
      <c r="M210" s="65" t="s">
        <v>4640</v>
      </c>
      <c r="N210" s="65" t="s">
        <v>4640</v>
      </c>
      <c r="O210" s="65" t="s">
        <v>165</v>
      </c>
      <c r="P210" s="65" t="s">
        <v>4641</v>
      </c>
    </row>
    <row r="211" customHeight="1" spans="1:16">
      <c r="A211" s="67" t="s">
        <v>4642</v>
      </c>
      <c r="B211" s="67">
        <v>30.85</v>
      </c>
      <c r="C211" s="67">
        <v>3</v>
      </c>
      <c r="D211" s="67" t="s">
        <v>5238</v>
      </c>
      <c r="E211" s="67" t="s">
        <v>3598</v>
      </c>
      <c r="F211" s="67" t="s">
        <v>12</v>
      </c>
      <c r="G211" s="67" t="s">
        <v>4643</v>
      </c>
      <c r="H211" s="67" t="s">
        <v>4644</v>
      </c>
      <c r="I211" s="67" t="s">
        <v>161</v>
      </c>
      <c r="J211" s="67" t="s">
        <v>649</v>
      </c>
      <c r="K211" s="67" t="s">
        <v>161</v>
      </c>
      <c r="L211" s="67" t="s">
        <v>4645</v>
      </c>
      <c r="M211" s="67" t="s">
        <v>4646</v>
      </c>
      <c r="N211" s="67" t="s">
        <v>4646</v>
      </c>
      <c r="O211" s="67" t="s">
        <v>165</v>
      </c>
      <c r="P211" s="67" t="s">
        <v>4647</v>
      </c>
    </row>
    <row r="212" customHeight="1" spans="1:16">
      <c r="A212" s="67" t="s">
        <v>4661</v>
      </c>
      <c r="B212" s="67">
        <v>11.89</v>
      </c>
      <c r="C212" s="67">
        <v>2</v>
      </c>
      <c r="D212" s="67" t="s">
        <v>5261</v>
      </c>
      <c r="E212" s="67" t="s">
        <v>3654</v>
      </c>
      <c r="F212" s="67" t="s">
        <v>12</v>
      </c>
      <c r="G212" s="67" t="s">
        <v>4662</v>
      </c>
      <c r="H212" s="67" t="s">
        <v>4663</v>
      </c>
      <c r="I212" s="67" t="s">
        <v>161</v>
      </c>
      <c r="J212" s="67" t="s">
        <v>649</v>
      </c>
      <c r="K212" s="67" t="s">
        <v>161</v>
      </c>
      <c r="L212" s="67" t="s">
        <v>4664</v>
      </c>
      <c r="M212" s="67" t="s">
        <v>4665</v>
      </c>
      <c r="N212" s="67" t="s">
        <v>4665</v>
      </c>
      <c r="O212" s="67" t="s">
        <v>165</v>
      </c>
      <c r="P212" s="67" t="s">
        <v>4666</v>
      </c>
    </row>
    <row r="213" s="62" customFormat="1" customHeight="1" spans="1:16">
      <c r="A213" s="68" t="s">
        <v>4667</v>
      </c>
      <c r="B213" s="68">
        <v>26.89</v>
      </c>
      <c r="C213" s="68">
        <v>2</v>
      </c>
      <c r="D213" s="68" t="s">
        <v>5231</v>
      </c>
      <c r="E213" s="68" t="s">
        <v>3582</v>
      </c>
      <c r="F213" s="68" t="s">
        <v>12</v>
      </c>
      <c r="G213" s="68" t="s">
        <v>4668</v>
      </c>
      <c r="H213" s="68" t="s">
        <v>4669</v>
      </c>
      <c r="I213" s="69"/>
      <c r="J213" s="68" t="s">
        <v>649</v>
      </c>
      <c r="K213" s="68" t="s">
        <v>161</v>
      </c>
      <c r="L213" s="68" t="s">
        <v>4670</v>
      </c>
      <c r="M213" s="68" t="s">
        <v>4671</v>
      </c>
      <c r="N213" s="68" t="s">
        <v>4671</v>
      </c>
      <c r="O213" s="68" t="s">
        <v>165</v>
      </c>
      <c r="P213" s="68" t="s">
        <v>4672</v>
      </c>
    </row>
    <row r="214" s="61" customFormat="1" hidden="1" customHeight="1" spans="1:16">
      <c r="A214" s="65" t="s">
        <v>4673</v>
      </c>
      <c r="B214" s="65">
        <v>47.8</v>
      </c>
      <c r="C214" s="65">
        <v>4</v>
      </c>
      <c r="D214" s="65" t="s">
        <v>4674</v>
      </c>
      <c r="E214" s="65" t="s">
        <v>4675</v>
      </c>
      <c r="F214" s="65" t="s">
        <v>12</v>
      </c>
      <c r="G214" s="65" t="s">
        <v>4676</v>
      </c>
      <c r="H214" s="65" t="s">
        <v>4677</v>
      </c>
      <c r="I214" s="66" t="s">
        <v>5166</v>
      </c>
      <c r="J214" s="65" t="s">
        <v>649</v>
      </c>
      <c r="K214" s="65" t="s">
        <v>161</v>
      </c>
      <c r="L214" s="65" t="s">
        <v>4678</v>
      </c>
      <c r="M214" s="65" t="s">
        <v>4679</v>
      </c>
      <c r="N214" s="65" t="s">
        <v>4679</v>
      </c>
      <c r="O214" s="65" t="s">
        <v>165</v>
      </c>
      <c r="P214" s="65" t="s">
        <v>4680</v>
      </c>
    </row>
    <row r="215" s="62" customFormat="1" customHeight="1" spans="1:16">
      <c r="A215" s="68" t="s">
        <v>4681</v>
      </c>
      <c r="B215" s="68">
        <v>26.89</v>
      </c>
      <c r="C215" s="68">
        <v>2</v>
      </c>
      <c r="D215" s="68" t="s">
        <v>5231</v>
      </c>
      <c r="E215" s="68" t="s">
        <v>3582</v>
      </c>
      <c r="F215" s="68" t="s">
        <v>12</v>
      </c>
      <c r="G215" s="68" t="s">
        <v>4682</v>
      </c>
      <c r="H215" s="68" t="s">
        <v>4683</v>
      </c>
      <c r="I215" s="69"/>
      <c r="J215" s="68" t="s">
        <v>649</v>
      </c>
      <c r="K215" s="68" t="s">
        <v>161</v>
      </c>
      <c r="L215" s="68" t="s">
        <v>4684</v>
      </c>
      <c r="M215" s="68" t="s">
        <v>4685</v>
      </c>
      <c r="N215" s="68" t="s">
        <v>4685</v>
      </c>
      <c r="O215" s="68" t="s">
        <v>165</v>
      </c>
      <c r="P215" s="68" t="s">
        <v>4686</v>
      </c>
    </row>
    <row r="216" customHeight="1" spans="1:16">
      <c r="A216" s="67" t="s">
        <v>4687</v>
      </c>
      <c r="B216" s="67">
        <v>55.25</v>
      </c>
      <c r="C216" s="67">
        <v>4</v>
      </c>
      <c r="D216" s="67" t="s">
        <v>5233</v>
      </c>
      <c r="E216" s="67" t="s">
        <v>4689</v>
      </c>
      <c r="F216" s="67" t="s">
        <v>12</v>
      </c>
      <c r="G216" s="67" t="s">
        <v>4690</v>
      </c>
      <c r="H216" s="67" t="s">
        <v>4691</v>
      </c>
      <c r="I216" s="67" t="s">
        <v>161</v>
      </c>
      <c r="J216" s="67" t="s">
        <v>649</v>
      </c>
      <c r="K216" s="67" t="s">
        <v>161</v>
      </c>
      <c r="L216" s="67" t="s">
        <v>4692</v>
      </c>
      <c r="M216" s="67" t="s">
        <v>4693</v>
      </c>
      <c r="N216" s="67" t="s">
        <v>4693</v>
      </c>
      <c r="O216" s="67" t="s">
        <v>165</v>
      </c>
      <c r="P216" s="67" t="s">
        <v>4694</v>
      </c>
    </row>
    <row r="217" s="61" customFormat="1" hidden="1" customHeight="1" spans="1:16">
      <c r="A217" s="65" t="s">
        <v>4695</v>
      </c>
      <c r="B217" s="65">
        <v>26.89</v>
      </c>
      <c r="C217" s="65">
        <v>2</v>
      </c>
      <c r="D217" s="65" t="s">
        <v>3683</v>
      </c>
      <c r="E217" s="65" t="s">
        <v>3684</v>
      </c>
      <c r="F217" s="65" t="s">
        <v>12</v>
      </c>
      <c r="G217" s="65" t="s">
        <v>4696</v>
      </c>
      <c r="H217" s="65" t="s">
        <v>4697</v>
      </c>
      <c r="I217" s="66" t="s">
        <v>5166</v>
      </c>
      <c r="J217" s="65" t="s">
        <v>649</v>
      </c>
      <c r="K217" s="65" t="s">
        <v>161</v>
      </c>
      <c r="L217" s="65" t="s">
        <v>4698</v>
      </c>
      <c r="M217" s="65" t="s">
        <v>4699</v>
      </c>
      <c r="N217" s="65" t="s">
        <v>4699</v>
      </c>
      <c r="O217" s="65" t="s">
        <v>165</v>
      </c>
      <c r="P217" s="65" t="s">
        <v>4700</v>
      </c>
    </row>
    <row r="218" customHeight="1" spans="1:16">
      <c r="A218" s="67" t="s">
        <v>4701</v>
      </c>
      <c r="B218" s="67">
        <v>33.97</v>
      </c>
      <c r="C218" s="67">
        <v>4</v>
      </c>
      <c r="D218" s="67" t="s">
        <v>5262</v>
      </c>
      <c r="E218" s="67" t="s">
        <v>4703</v>
      </c>
      <c r="F218" s="67" t="s">
        <v>12</v>
      </c>
      <c r="G218" s="67" t="s">
        <v>4704</v>
      </c>
      <c r="H218" s="67" t="s">
        <v>4705</v>
      </c>
      <c r="I218" s="67" t="s">
        <v>161</v>
      </c>
      <c r="J218" s="67" t="s">
        <v>649</v>
      </c>
      <c r="K218" s="67" t="s">
        <v>161</v>
      </c>
      <c r="L218" s="67" t="s">
        <v>4706</v>
      </c>
      <c r="M218" s="67" t="s">
        <v>4707</v>
      </c>
      <c r="N218" s="67" t="s">
        <v>4707</v>
      </c>
      <c r="O218" s="67" t="s">
        <v>165</v>
      </c>
      <c r="P218" s="67" t="s">
        <v>4708</v>
      </c>
    </row>
    <row r="219" s="61" customFormat="1" hidden="1" customHeight="1" spans="1:16">
      <c r="A219" s="65" t="s">
        <v>4709</v>
      </c>
      <c r="B219" s="65">
        <v>54.75</v>
      </c>
      <c r="C219" s="65">
        <v>5</v>
      </c>
      <c r="D219" s="65" t="s">
        <v>4710</v>
      </c>
      <c r="E219" s="65" t="s">
        <v>4711</v>
      </c>
      <c r="F219" s="65" t="s">
        <v>12</v>
      </c>
      <c r="G219" s="65" t="s">
        <v>4712</v>
      </c>
      <c r="H219" s="65" t="s">
        <v>4713</v>
      </c>
      <c r="I219" s="66" t="s">
        <v>5166</v>
      </c>
      <c r="J219" s="65" t="s">
        <v>649</v>
      </c>
      <c r="K219" s="65" t="s">
        <v>161</v>
      </c>
      <c r="L219" s="65" t="s">
        <v>4714</v>
      </c>
      <c r="M219" s="65" t="s">
        <v>4715</v>
      </c>
      <c r="N219" s="65" t="s">
        <v>4715</v>
      </c>
      <c r="O219" s="65" t="s">
        <v>165</v>
      </c>
      <c r="P219" s="65" t="s">
        <v>4716</v>
      </c>
    </row>
    <row r="220" s="62" customFormat="1" customHeight="1" spans="1:16">
      <c r="A220" s="68" t="s">
        <v>4717</v>
      </c>
      <c r="B220" s="68">
        <v>35.75</v>
      </c>
      <c r="C220" s="68">
        <v>4</v>
      </c>
      <c r="D220" s="68" t="s">
        <v>5263</v>
      </c>
      <c r="E220" s="68" t="s">
        <v>4719</v>
      </c>
      <c r="F220" s="68" t="s">
        <v>12</v>
      </c>
      <c r="G220" s="68" t="s">
        <v>4720</v>
      </c>
      <c r="H220" s="68" t="s">
        <v>4721</v>
      </c>
      <c r="I220" s="69"/>
      <c r="J220" s="68" t="s">
        <v>649</v>
      </c>
      <c r="K220" s="68" t="s">
        <v>161</v>
      </c>
      <c r="L220" s="68" t="s">
        <v>4722</v>
      </c>
      <c r="M220" s="68" t="s">
        <v>4723</v>
      </c>
      <c r="N220" s="68" t="s">
        <v>4723</v>
      </c>
      <c r="O220" s="68" t="s">
        <v>165</v>
      </c>
      <c r="P220" s="68" t="s">
        <v>4724</v>
      </c>
    </row>
    <row r="221" customHeight="1" spans="1:16">
      <c r="A221" s="67" t="s">
        <v>4739</v>
      </c>
      <c r="B221" s="67">
        <v>26.89</v>
      </c>
      <c r="C221" s="67">
        <v>2</v>
      </c>
      <c r="D221" s="67" t="s">
        <v>5231</v>
      </c>
      <c r="E221" s="67" t="s">
        <v>3729</v>
      </c>
      <c r="F221" s="67" t="s">
        <v>12</v>
      </c>
      <c r="G221" s="67" t="s">
        <v>4740</v>
      </c>
      <c r="H221" s="67" t="s">
        <v>4741</v>
      </c>
      <c r="I221" s="67" t="s">
        <v>161</v>
      </c>
      <c r="J221" s="67" t="s">
        <v>649</v>
      </c>
      <c r="K221" s="67" t="s">
        <v>161</v>
      </c>
      <c r="L221" s="67" t="s">
        <v>4742</v>
      </c>
      <c r="M221" s="67" t="s">
        <v>4743</v>
      </c>
      <c r="N221" s="67" t="s">
        <v>4743</v>
      </c>
      <c r="O221" s="67" t="s">
        <v>165</v>
      </c>
      <c r="P221" s="67" t="s">
        <v>4744</v>
      </c>
    </row>
    <row r="222" customHeight="1" spans="1:16">
      <c r="A222" s="67" t="s">
        <v>4753</v>
      </c>
      <c r="B222" s="67">
        <v>31.79</v>
      </c>
      <c r="C222" s="67">
        <v>3</v>
      </c>
      <c r="D222" s="67" t="s">
        <v>5264</v>
      </c>
      <c r="E222" s="67" t="s">
        <v>4755</v>
      </c>
      <c r="F222" s="67" t="s">
        <v>12</v>
      </c>
      <c r="G222" s="67" t="s">
        <v>4756</v>
      </c>
      <c r="H222" s="67" t="s">
        <v>4757</v>
      </c>
      <c r="I222" s="67" t="s">
        <v>161</v>
      </c>
      <c r="J222" s="67" t="s">
        <v>649</v>
      </c>
      <c r="K222" s="67" t="s">
        <v>161</v>
      </c>
      <c r="L222" s="67" t="s">
        <v>4758</v>
      </c>
      <c r="M222" s="67" t="s">
        <v>4759</v>
      </c>
      <c r="N222" s="67" t="s">
        <v>4759</v>
      </c>
      <c r="O222" s="67" t="s">
        <v>165</v>
      </c>
      <c r="P222" s="67" t="s">
        <v>4760</v>
      </c>
    </row>
    <row r="223" customHeight="1" spans="1:16">
      <c r="A223" s="67" t="s">
        <v>4761</v>
      </c>
      <c r="B223" s="67">
        <v>47.8</v>
      </c>
      <c r="C223" s="67">
        <v>4</v>
      </c>
      <c r="D223" s="67" t="s">
        <v>5236</v>
      </c>
      <c r="E223" s="67" t="s">
        <v>4763</v>
      </c>
      <c r="F223" s="67" t="s">
        <v>12</v>
      </c>
      <c r="G223" s="67" t="s">
        <v>4764</v>
      </c>
      <c r="H223" s="67" t="s">
        <v>4765</v>
      </c>
      <c r="I223" s="67" t="s">
        <v>161</v>
      </c>
      <c r="J223" s="67" t="s">
        <v>649</v>
      </c>
      <c r="K223" s="67" t="s">
        <v>161</v>
      </c>
      <c r="L223" s="67" t="s">
        <v>4766</v>
      </c>
      <c r="M223" s="67" t="s">
        <v>4767</v>
      </c>
      <c r="N223" s="67" t="s">
        <v>4767</v>
      </c>
      <c r="O223" s="67" t="s">
        <v>165</v>
      </c>
      <c r="P223" s="67" t="s">
        <v>4768</v>
      </c>
    </row>
    <row r="224" s="61" customFormat="1" hidden="1" customHeight="1" spans="1:16">
      <c r="A224" s="65" t="s">
        <v>4769</v>
      </c>
      <c r="B224" s="65">
        <v>47.8</v>
      </c>
      <c r="C224" s="65">
        <v>4</v>
      </c>
      <c r="D224" s="65" t="s">
        <v>4770</v>
      </c>
      <c r="E224" s="65" t="s">
        <v>4771</v>
      </c>
      <c r="F224" s="65" t="s">
        <v>12</v>
      </c>
      <c r="G224" s="65" t="s">
        <v>4772</v>
      </c>
      <c r="H224" s="65" t="s">
        <v>4773</v>
      </c>
      <c r="I224" s="66" t="s">
        <v>5166</v>
      </c>
      <c r="J224" s="65" t="s">
        <v>649</v>
      </c>
      <c r="K224" s="65" t="s">
        <v>161</v>
      </c>
      <c r="L224" s="65" t="s">
        <v>4774</v>
      </c>
      <c r="M224" s="65" t="s">
        <v>4775</v>
      </c>
      <c r="N224" s="65" t="s">
        <v>4775</v>
      </c>
      <c r="O224" s="65" t="s">
        <v>165</v>
      </c>
      <c r="P224" s="65" t="s">
        <v>4776</v>
      </c>
    </row>
    <row r="225" customHeight="1" spans="1:16">
      <c r="A225" s="67" t="s">
        <v>4784</v>
      </c>
      <c r="B225" s="67">
        <v>31.65</v>
      </c>
      <c r="C225" s="67">
        <v>5</v>
      </c>
      <c r="D225" s="67" t="s">
        <v>5265</v>
      </c>
      <c r="E225" s="67" t="s">
        <v>4786</v>
      </c>
      <c r="F225" s="67" t="s">
        <v>12</v>
      </c>
      <c r="G225" s="67" t="s">
        <v>4787</v>
      </c>
      <c r="H225" s="67" t="s">
        <v>4788</v>
      </c>
      <c r="I225" s="67" t="s">
        <v>161</v>
      </c>
      <c r="J225" s="67" t="s">
        <v>649</v>
      </c>
      <c r="K225" s="67" t="s">
        <v>161</v>
      </c>
      <c r="L225" s="67" t="s">
        <v>4789</v>
      </c>
      <c r="M225" s="67" t="s">
        <v>4790</v>
      </c>
      <c r="N225" s="67" t="s">
        <v>4790</v>
      </c>
      <c r="O225" s="67" t="s">
        <v>165</v>
      </c>
      <c r="P225" s="67" t="s">
        <v>4791</v>
      </c>
    </row>
    <row r="226" s="61" customFormat="1" hidden="1" customHeight="1" spans="1:16">
      <c r="A226" s="65" t="s">
        <v>4808</v>
      </c>
      <c r="B226" s="65">
        <v>59.65</v>
      </c>
      <c r="C226" s="65">
        <v>6</v>
      </c>
      <c r="D226" s="65" t="s">
        <v>4809</v>
      </c>
      <c r="E226" s="65" t="s">
        <v>4810</v>
      </c>
      <c r="F226" s="65" t="s">
        <v>12</v>
      </c>
      <c r="G226" s="65" t="s">
        <v>4811</v>
      </c>
      <c r="H226" s="65" t="s">
        <v>4812</v>
      </c>
      <c r="I226" s="66" t="s">
        <v>5166</v>
      </c>
      <c r="J226" s="65" t="s">
        <v>649</v>
      </c>
      <c r="K226" s="65" t="s">
        <v>161</v>
      </c>
      <c r="L226" s="65" t="s">
        <v>4813</v>
      </c>
      <c r="M226" s="65" t="s">
        <v>4814</v>
      </c>
      <c r="N226" s="65" t="s">
        <v>4814</v>
      </c>
      <c r="O226" s="65" t="s">
        <v>165</v>
      </c>
      <c r="P226" s="65" t="s">
        <v>4815</v>
      </c>
    </row>
    <row r="227" s="61" customFormat="1" hidden="1" customHeight="1" spans="1:16">
      <c r="A227" s="65" t="s">
        <v>4816</v>
      </c>
      <c r="B227" s="65">
        <v>30.85</v>
      </c>
      <c r="C227" s="65">
        <v>3</v>
      </c>
      <c r="D227" s="65" t="s">
        <v>4817</v>
      </c>
      <c r="E227" s="65" t="s">
        <v>4818</v>
      </c>
      <c r="F227" s="65" t="s">
        <v>12</v>
      </c>
      <c r="G227" s="65" t="s">
        <v>4819</v>
      </c>
      <c r="H227" s="65" t="s">
        <v>4820</v>
      </c>
      <c r="I227" s="66" t="s">
        <v>5166</v>
      </c>
      <c r="J227" s="65" t="s">
        <v>649</v>
      </c>
      <c r="K227" s="65" t="s">
        <v>161</v>
      </c>
      <c r="L227" s="65" t="s">
        <v>4821</v>
      </c>
      <c r="M227" s="65" t="s">
        <v>4822</v>
      </c>
      <c r="N227" s="65" t="s">
        <v>4822</v>
      </c>
      <c r="O227" s="65" t="s">
        <v>165</v>
      </c>
      <c r="P227" s="65" t="s">
        <v>4823</v>
      </c>
    </row>
    <row r="228" s="61" customFormat="1" hidden="1" customHeight="1" spans="1:16">
      <c r="A228" s="65" t="s">
        <v>4852</v>
      </c>
      <c r="B228" s="65">
        <v>32.7</v>
      </c>
      <c r="C228" s="65">
        <v>4</v>
      </c>
      <c r="D228" s="65" t="s">
        <v>4853</v>
      </c>
      <c r="E228" s="65" t="s">
        <v>4854</v>
      </c>
      <c r="F228" s="65" t="s">
        <v>12</v>
      </c>
      <c r="G228" s="65" t="s">
        <v>4855</v>
      </c>
      <c r="H228" s="65" t="s">
        <v>4856</v>
      </c>
      <c r="I228" s="66" t="s">
        <v>5166</v>
      </c>
      <c r="J228" s="65" t="s">
        <v>649</v>
      </c>
      <c r="K228" s="65" t="s">
        <v>161</v>
      </c>
      <c r="L228" s="65" t="s">
        <v>4857</v>
      </c>
      <c r="M228" s="65" t="s">
        <v>4858</v>
      </c>
      <c r="N228" s="65" t="s">
        <v>4858</v>
      </c>
      <c r="O228" s="65" t="s">
        <v>165</v>
      </c>
      <c r="P228" s="65" t="s">
        <v>4859</v>
      </c>
    </row>
    <row r="229" s="61" customFormat="1" hidden="1" customHeight="1" spans="1:16">
      <c r="A229" s="65" t="s">
        <v>4868</v>
      </c>
      <c r="B229" s="65">
        <v>54.75</v>
      </c>
      <c r="C229" s="65">
        <v>5</v>
      </c>
      <c r="D229" s="65" t="s">
        <v>4869</v>
      </c>
      <c r="E229" s="65" t="s">
        <v>4870</v>
      </c>
      <c r="F229" s="65" t="s">
        <v>12</v>
      </c>
      <c r="G229" s="65" t="s">
        <v>4871</v>
      </c>
      <c r="H229" s="65" t="s">
        <v>4872</v>
      </c>
      <c r="I229" s="66" t="s">
        <v>5166</v>
      </c>
      <c r="J229" s="65" t="s">
        <v>649</v>
      </c>
      <c r="K229" s="65" t="s">
        <v>161</v>
      </c>
      <c r="L229" s="65" t="s">
        <v>4873</v>
      </c>
      <c r="M229" s="65" t="s">
        <v>4874</v>
      </c>
      <c r="N229" s="65" t="s">
        <v>4874</v>
      </c>
      <c r="O229" s="65" t="s">
        <v>165</v>
      </c>
      <c r="P229" s="65" t="s">
        <v>4875</v>
      </c>
    </row>
    <row r="230" s="61" customFormat="1" hidden="1" customHeight="1" spans="1:16">
      <c r="A230" s="65" t="s">
        <v>4882</v>
      </c>
      <c r="B230" s="65">
        <v>26.89</v>
      </c>
      <c r="C230" s="65">
        <v>2</v>
      </c>
      <c r="D230" s="65" t="s">
        <v>3262</v>
      </c>
      <c r="E230" s="65" t="s">
        <v>3263</v>
      </c>
      <c r="F230" s="65" t="s">
        <v>12</v>
      </c>
      <c r="G230" s="65" t="s">
        <v>4883</v>
      </c>
      <c r="H230" s="65" t="s">
        <v>4884</v>
      </c>
      <c r="I230" s="66" t="s">
        <v>5166</v>
      </c>
      <c r="J230" s="65" t="s">
        <v>649</v>
      </c>
      <c r="K230" s="65" t="s">
        <v>161</v>
      </c>
      <c r="L230" s="65" t="s">
        <v>4885</v>
      </c>
      <c r="M230" s="65" t="s">
        <v>4886</v>
      </c>
      <c r="N230" s="65" t="s">
        <v>4886</v>
      </c>
      <c r="O230" s="65" t="s">
        <v>165</v>
      </c>
      <c r="P230" s="65" t="s">
        <v>4887</v>
      </c>
    </row>
    <row r="231" customHeight="1" spans="1:16">
      <c r="A231" s="67" t="s">
        <v>4888</v>
      </c>
      <c r="B231" s="67">
        <v>40.75</v>
      </c>
      <c r="C231" s="67">
        <v>4</v>
      </c>
      <c r="D231" s="67" t="s">
        <v>5266</v>
      </c>
      <c r="E231" s="67" t="s">
        <v>4890</v>
      </c>
      <c r="F231" s="67" t="s">
        <v>12</v>
      </c>
      <c r="G231" s="67" t="s">
        <v>4891</v>
      </c>
      <c r="H231" s="67" t="s">
        <v>4892</v>
      </c>
      <c r="I231" s="67" t="s">
        <v>161</v>
      </c>
      <c r="J231" s="67" t="s">
        <v>649</v>
      </c>
      <c r="K231" s="67" t="s">
        <v>161</v>
      </c>
      <c r="L231" s="67" t="s">
        <v>4893</v>
      </c>
      <c r="M231" s="67" t="s">
        <v>4894</v>
      </c>
      <c r="N231" s="67" t="s">
        <v>4894</v>
      </c>
      <c r="O231" s="67" t="s">
        <v>165</v>
      </c>
      <c r="P231" s="67" t="s">
        <v>4895</v>
      </c>
    </row>
    <row r="232" s="61" customFormat="1" hidden="1" customHeight="1" spans="1:16">
      <c r="A232" s="65" t="s">
        <v>4908</v>
      </c>
      <c r="B232" s="65">
        <v>47.8</v>
      </c>
      <c r="C232" s="65">
        <v>4</v>
      </c>
      <c r="D232" s="65" t="s">
        <v>3343</v>
      </c>
      <c r="E232" s="65" t="s">
        <v>3344</v>
      </c>
      <c r="F232" s="65" t="s">
        <v>12</v>
      </c>
      <c r="G232" s="65" t="s">
        <v>4909</v>
      </c>
      <c r="H232" s="65" t="s">
        <v>4910</v>
      </c>
      <c r="I232" s="66" t="s">
        <v>5166</v>
      </c>
      <c r="J232" s="65" t="s">
        <v>649</v>
      </c>
      <c r="K232" s="65" t="s">
        <v>161</v>
      </c>
      <c r="L232" s="65" t="s">
        <v>4911</v>
      </c>
      <c r="M232" s="65" t="s">
        <v>4912</v>
      </c>
      <c r="N232" s="65" t="s">
        <v>4912</v>
      </c>
      <c r="O232" s="65" t="s">
        <v>165</v>
      </c>
      <c r="P232" s="65" t="s">
        <v>4913</v>
      </c>
    </row>
    <row r="233" customHeight="1" spans="1:16">
      <c r="A233" s="67" t="s">
        <v>4920</v>
      </c>
      <c r="B233" s="67">
        <v>31.79</v>
      </c>
      <c r="C233" s="67">
        <v>3</v>
      </c>
      <c r="D233" s="67" t="s">
        <v>5264</v>
      </c>
      <c r="E233" s="67" t="s">
        <v>4922</v>
      </c>
      <c r="F233" s="67" t="s">
        <v>12</v>
      </c>
      <c r="G233" s="67" t="s">
        <v>4923</v>
      </c>
      <c r="H233" s="67" t="s">
        <v>4924</v>
      </c>
      <c r="I233" s="67" t="s">
        <v>161</v>
      </c>
      <c r="J233" s="67" t="s">
        <v>649</v>
      </c>
      <c r="K233" s="67" t="s">
        <v>161</v>
      </c>
      <c r="L233" s="67" t="s">
        <v>4925</v>
      </c>
      <c r="M233" s="67" t="s">
        <v>4926</v>
      </c>
      <c r="N233" s="67" t="s">
        <v>4926</v>
      </c>
      <c r="O233" s="67" t="s">
        <v>165</v>
      </c>
      <c r="P233" s="67" t="s">
        <v>4927</v>
      </c>
    </row>
    <row r="234" s="61" customFormat="1" hidden="1" customHeight="1" spans="1:16">
      <c r="A234" s="65" t="s">
        <v>4928</v>
      </c>
      <c r="B234" s="65">
        <v>26.89</v>
      </c>
      <c r="C234" s="65">
        <v>2</v>
      </c>
      <c r="D234" s="65" t="s">
        <v>3683</v>
      </c>
      <c r="E234" s="65" t="s">
        <v>3684</v>
      </c>
      <c r="F234" s="65" t="s">
        <v>12</v>
      </c>
      <c r="G234" s="65" t="s">
        <v>4929</v>
      </c>
      <c r="H234" s="65" t="s">
        <v>4930</v>
      </c>
      <c r="I234" s="66" t="s">
        <v>5166</v>
      </c>
      <c r="J234" s="65" t="s">
        <v>649</v>
      </c>
      <c r="K234" s="65" t="s">
        <v>161</v>
      </c>
      <c r="L234" s="65" t="s">
        <v>4931</v>
      </c>
      <c r="M234" s="65" t="s">
        <v>4932</v>
      </c>
      <c r="N234" s="65" t="s">
        <v>4932</v>
      </c>
      <c r="O234" s="65" t="s">
        <v>165</v>
      </c>
      <c r="P234" s="65" t="s">
        <v>4933</v>
      </c>
    </row>
    <row r="235" customHeight="1" spans="1:16">
      <c r="A235" s="67" t="s">
        <v>4934</v>
      </c>
      <c r="B235" s="67">
        <v>26.89</v>
      </c>
      <c r="C235" s="67">
        <v>2</v>
      </c>
      <c r="D235" s="67" t="s">
        <v>5231</v>
      </c>
      <c r="E235" s="67" t="s">
        <v>3729</v>
      </c>
      <c r="F235" s="67" t="s">
        <v>12</v>
      </c>
      <c r="G235" s="67" t="s">
        <v>4935</v>
      </c>
      <c r="H235" s="67" t="s">
        <v>4936</v>
      </c>
      <c r="I235" s="67" t="s">
        <v>161</v>
      </c>
      <c r="J235" s="67" t="s">
        <v>649</v>
      </c>
      <c r="K235" s="67" t="s">
        <v>161</v>
      </c>
      <c r="L235" s="67" t="s">
        <v>4937</v>
      </c>
      <c r="M235" s="67" t="s">
        <v>4938</v>
      </c>
      <c r="N235" s="67" t="s">
        <v>4938</v>
      </c>
      <c r="O235" s="67" t="s">
        <v>165</v>
      </c>
      <c r="P235" s="67" t="s">
        <v>4939</v>
      </c>
    </row>
    <row r="236" s="61" customFormat="1" hidden="1" customHeight="1" spans="1:16">
      <c r="A236" s="65" t="s">
        <v>4947</v>
      </c>
      <c r="B236" s="65">
        <v>30.85</v>
      </c>
      <c r="C236" s="65">
        <v>3</v>
      </c>
      <c r="D236" s="65" t="s">
        <v>3368</v>
      </c>
      <c r="E236" s="65" t="s">
        <v>3369</v>
      </c>
      <c r="F236" s="65" t="s">
        <v>12</v>
      </c>
      <c r="G236" s="65" t="s">
        <v>4948</v>
      </c>
      <c r="H236" s="65" t="s">
        <v>4949</v>
      </c>
      <c r="I236" s="66" t="s">
        <v>5166</v>
      </c>
      <c r="J236" s="65" t="s">
        <v>649</v>
      </c>
      <c r="K236" s="65" t="s">
        <v>4950</v>
      </c>
      <c r="L236" s="65" t="s">
        <v>4951</v>
      </c>
      <c r="M236" s="65" t="s">
        <v>4952</v>
      </c>
      <c r="N236" s="65" t="s">
        <v>4952</v>
      </c>
      <c r="O236" s="65" t="s">
        <v>165</v>
      </c>
      <c r="P236" s="65" t="s">
        <v>4953</v>
      </c>
    </row>
    <row r="237" customHeight="1" spans="1:16">
      <c r="A237" s="67" t="s">
        <v>4954</v>
      </c>
      <c r="B237" s="67">
        <v>26.89</v>
      </c>
      <c r="C237" s="67">
        <v>2</v>
      </c>
      <c r="D237" s="67" t="s">
        <v>5231</v>
      </c>
      <c r="E237" s="67" t="s">
        <v>3582</v>
      </c>
      <c r="F237" s="67" t="s">
        <v>12</v>
      </c>
      <c r="G237" s="67" t="s">
        <v>4955</v>
      </c>
      <c r="H237" s="67" t="s">
        <v>4956</v>
      </c>
      <c r="I237" s="67" t="s">
        <v>161</v>
      </c>
      <c r="J237" s="67" t="s">
        <v>649</v>
      </c>
      <c r="K237" s="67" t="s">
        <v>161</v>
      </c>
      <c r="L237" s="67" t="s">
        <v>4957</v>
      </c>
      <c r="M237" s="67" t="s">
        <v>4958</v>
      </c>
      <c r="N237" s="67" t="s">
        <v>4958</v>
      </c>
      <c r="O237" s="67" t="s">
        <v>165</v>
      </c>
      <c r="P237" s="67" t="s">
        <v>4959</v>
      </c>
    </row>
    <row r="238" s="61" customFormat="1" hidden="1" customHeight="1" spans="1:16">
      <c r="A238" s="65" t="s">
        <v>4967</v>
      </c>
      <c r="B238" s="65">
        <v>47.8</v>
      </c>
      <c r="C238" s="65">
        <v>4</v>
      </c>
      <c r="D238" s="65" t="s">
        <v>3295</v>
      </c>
      <c r="E238" s="65" t="s">
        <v>3296</v>
      </c>
      <c r="F238" s="65" t="s">
        <v>12</v>
      </c>
      <c r="G238" s="65" t="s">
        <v>4968</v>
      </c>
      <c r="H238" s="65" t="s">
        <v>4969</v>
      </c>
      <c r="I238" s="66" t="s">
        <v>5166</v>
      </c>
      <c r="J238" s="65" t="s">
        <v>649</v>
      </c>
      <c r="K238" s="65" t="s">
        <v>161</v>
      </c>
      <c r="L238" s="65" t="s">
        <v>4970</v>
      </c>
      <c r="M238" s="65" t="s">
        <v>4971</v>
      </c>
      <c r="N238" s="65" t="s">
        <v>4971</v>
      </c>
      <c r="O238" s="65" t="s">
        <v>165</v>
      </c>
      <c r="P238" s="65" t="s">
        <v>4972</v>
      </c>
    </row>
    <row r="239" customHeight="1" spans="1:16">
      <c r="A239" s="67" t="s">
        <v>4973</v>
      </c>
      <c r="B239" s="67">
        <v>11.89</v>
      </c>
      <c r="C239" s="67">
        <v>2</v>
      </c>
      <c r="D239" s="67" t="s">
        <v>5261</v>
      </c>
      <c r="E239" s="67" t="s">
        <v>3654</v>
      </c>
      <c r="F239" s="67" t="s">
        <v>12</v>
      </c>
      <c r="G239" s="67" t="s">
        <v>4974</v>
      </c>
      <c r="H239" s="67" t="s">
        <v>4975</v>
      </c>
      <c r="I239" s="67" t="s">
        <v>161</v>
      </c>
      <c r="J239" s="67" t="s">
        <v>649</v>
      </c>
      <c r="K239" s="67" t="s">
        <v>161</v>
      </c>
      <c r="L239" s="67" t="s">
        <v>4976</v>
      </c>
      <c r="M239" s="67" t="s">
        <v>4977</v>
      </c>
      <c r="N239" s="67" t="s">
        <v>4977</v>
      </c>
      <c r="O239" s="67" t="s">
        <v>165</v>
      </c>
      <c r="P239" s="67" t="s">
        <v>4978</v>
      </c>
    </row>
    <row r="240" customHeight="1" spans="1:16">
      <c r="A240" s="67" t="s">
        <v>4979</v>
      </c>
      <c r="B240" s="67">
        <v>30.85</v>
      </c>
      <c r="C240" s="67">
        <v>3</v>
      </c>
      <c r="D240" s="67" t="s">
        <v>5238</v>
      </c>
      <c r="E240" s="67" t="s">
        <v>4981</v>
      </c>
      <c r="F240" s="67" t="s">
        <v>12</v>
      </c>
      <c r="G240" s="67" t="s">
        <v>4982</v>
      </c>
      <c r="H240" s="67" t="s">
        <v>4983</v>
      </c>
      <c r="I240" s="67" t="s">
        <v>161</v>
      </c>
      <c r="J240" s="67" t="s">
        <v>649</v>
      </c>
      <c r="K240" s="67" t="s">
        <v>161</v>
      </c>
      <c r="L240" s="67" t="s">
        <v>4984</v>
      </c>
      <c r="M240" s="67" t="s">
        <v>4985</v>
      </c>
      <c r="N240" s="67" t="s">
        <v>4985</v>
      </c>
      <c r="O240" s="67" t="s">
        <v>165</v>
      </c>
      <c r="P240" s="67" t="s">
        <v>4986</v>
      </c>
    </row>
    <row r="241" s="61" customFormat="1" hidden="1" customHeight="1" spans="1:16">
      <c r="A241" s="65" t="s">
        <v>4987</v>
      </c>
      <c r="B241" s="65">
        <v>26.89</v>
      </c>
      <c r="C241" s="65">
        <v>2</v>
      </c>
      <c r="D241" s="65" t="s">
        <v>3262</v>
      </c>
      <c r="E241" s="65" t="s">
        <v>3263</v>
      </c>
      <c r="F241" s="65" t="s">
        <v>12</v>
      </c>
      <c r="G241" s="65" t="s">
        <v>4988</v>
      </c>
      <c r="H241" s="65" t="s">
        <v>4989</v>
      </c>
      <c r="I241" s="66" t="s">
        <v>5166</v>
      </c>
      <c r="J241" s="65" t="s">
        <v>649</v>
      </c>
      <c r="K241" s="65" t="s">
        <v>161</v>
      </c>
      <c r="L241" s="65" t="s">
        <v>4990</v>
      </c>
      <c r="M241" s="65" t="s">
        <v>4991</v>
      </c>
      <c r="N241" s="65" t="s">
        <v>4991</v>
      </c>
      <c r="O241" s="65" t="s">
        <v>165</v>
      </c>
      <c r="P241" s="65" t="s">
        <v>4992</v>
      </c>
    </row>
    <row r="242" customHeight="1" spans="1:16">
      <c r="A242" s="67" t="s">
        <v>4998</v>
      </c>
      <c r="B242" s="67">
        <v>16.79</v>
      </c>
      <c r="C242" s="67">
        <v>3</v>
      </c>
      <c r="D242" s="67" t="s">
        <v>5267</v>
      </c>
      <c r="E242" s="67" t="s">
        <v>3654</v>
      </c>
      <c r="F242" s="67" t="s">
        <v>12</v>
      </c>
      <c r="G242" s="67" t="s">
        <v>4999</v>
      </c>
      <c r="H242" s="67" t="s">
        <v>5000</v>
      </c>
      <c r="I242" s="67" t="s">
        <v>161</v>
      </c>
      <c r="J242" s="67" t="s">
        <v>649</v>
      </c>
      <c r="K242" s="67" t="s">
        <v>161</v>
      </c>
      <c r="L242" s="67" t="s">
        <v>5001</v>
      </c>
      <c r="M242" s="67" t="s">
        <v>5002</v>
      </c>
      <c r="N242" s="67" t="s">
        <v>5002</v>
      </c>
      <c r="O242" s="67" t="s">
        <v>165</v>
      </c>
      <c r="P242" s="67" t="s">
        <v>5003</v>
      </c>
    </row>
    <row r="243" s="61" customFormat="1" hidden="1" customHeight="1" spans="1:16">
      <c r="A243" s="65" t="s">
        <v>5004</v>
      </c>
      <c r="B243" s="65">
        <v>52.7</v>
      </c>
      <c r="C243" s="65">
        <v>5</v>
      </c>
      <c r="D243" s="65" t="s">
        <v>5005</v>
      </c>
      <c r="E243" s="65" t="s">
        <v>5006</v>
      </c>
      <c r="F243" s="65" t="s">
        <v>12</v>
      </c>
      <c r="G243" s="65" t="s">
        <v>5007</v>
      </c>
      <c r="H243" s="65" t="s">
        <v>5008</v>
      </c>
      <c r="I243" s="66" t="s">
        <v>5166</v>
      </c>
      <c r="J243" s="65" t="s">
        <v>649</v>
      </c>
      <c r="K243" s="65" t="s">
        <v>161</v>
      </c>
      <c r="L243" s="65" t="s">
        <v>5009</v>
      </c>
      <c r="M243" s="65" t="s">
        <v>5010</v>
      </c>
      <c r="N243" s="65" t="s">
        <v>5010</v>
      </c>
      <c r="O243" s="65" t="s">
        <v>165</v>
      </c>
      <c r="P243" s="65" t="s">
        <v>5011</v>
      </c>
    </row>
    <row r="244" customHeight="1" spans="1:16">
      <c r="A244" s="67" t="s">
        <v>5012</v>
      </c>
      <c r="B244" s="67">
        <v>37.7</v>
      </c>
      <c r="C244" s="67">
        <v>4</v>
      </c>
      <c r="D244" s="67" t="s">
        <v>5268</v>
      </c>
      <c r="E244" s="67" t="s">
        <v>4922</v>
      </c>
      <c r="F244" s="67" t="s">
        <v>12</v>
      </c>
      <c r="G244" s="67" t="s">
        <v>5014</v>
      </c>
      <c r="H244" s="67" t="s">
        <v>5015</v>
      </c>
      <c r="I244" s="67" t="s">
        <v>161</v>
      </c>
      <c r="J244" s="67" t="s">
        <v>649</v>
      </c>
      <c r="K244" s="67" t="s">
        <v>161</v>
      </c>
      <c r="L244" s="67" t="s">
        <v>5016</v>
      </c>
      <c r="M244" s="67" t="s">
        <v>5017</v>
      </c>
      <c r="N244" s="67" t="s">
        <v>5017</v>
      </c>
      <c r="O244" s="67" t="s">
        <v>165</v>
      </c>
      <c r="P244" s="67" t="s">
        <v>5018</v>
      </c>
    </row>
    <row r="245" s="63" customFormat="1" customHeight="1" spans="1:16">
      <c r="A245" s="67" t="s">
        <v>5026</v>
      </c>
      <c r="B245" s="67">
        <v>33.97</v>
      </c>
      <c r="C245" s="67">
        <v>3</v>
      </c>
      <c r="D245" s="67" t="s">
        <v>5269</v>
      </c>
      <c r="E245" s="67" t="s">
        <v>5028</v>
      </c>
      <c r="F245" s="67" t="s">
        <v>12</v>
      </c>
      <c r="G245" s="67" t="s">
        <v>5029</v>
      </c>
      <c r="H245" s="67" t="s">
        <v>5030</v>
      </c>
      <c r="I245" s="67" t="s">
        <v>161</v>
      </c>
      <c r="J245" s="67" t="s">
        <v>649</v>
      </c>
      <c r="K245" s="67" t="s">
        <v>161</v>
      </c>
      <c r="L245" s="67" t="s">
        <v>5031</v>
      </c>
      <c r="M245" s="67" t="s">
        <v>5032</v>
      </c>
      <c r="N245" s="67" t="s">
        <v>5032</v>
      </c>
      <c r="O245" s="67" t="s">
        <v>165</v>
      </c>
      <c r="P245" s="67" t="s">
        <v>5018</v>
      </c>
    </row>
    <row r="246" s="61" customFormat="1" hidden="1" customHeight="1" spans="1:16">
      <c r="A246" s="66" t="s">
        <v>5033</v>
      </c>
      <c r="B246" s="66">
        <v>62.5</v>
      </c>
      <c r="C246" s="66">
        <v>6</v>
      </c>
      <c r="D246" s="66" t="s">
        <v>5034</v>
      </c>
      <c r="E246" s="66" t="s">
        <v>5035</v>
      </c>
      <c r="F246" s="66" t="s">
        <v>12</v>
      </c>
      <c r="G246" s="66" t="s">
        <v>5036</v>
      </c>
      <c r="H246" s="66" t="s">
        <v>5037</v>
      </c>
      <c r="I246" s="66" t="s">
        <v>5166</v>
      </c>
      <c r="J246" s="66" t="s">
        <v>649</v>
      </c>
      <c r="K246" s="66" t="s">
        <v>5038</v>
      </c>
      <c r="L246" s="66" t="s">
        <v>5039</v>
      </c>
      <c r="M246" s="66" t="s">
        <v>5040</v>
      </c>
      <c r="N246" s="66" t="s">
        <v>5040</v>
      </c>
      <c r="O246" s="66" t="s">
        <v>165</v>
      </c>
      <c r="P246" s="66"/>
    </row>
    <row r="247" customFormat="1" customHeight="1" spans="1:16">
      <c r="A247" s="67" t="s">
        <v>615</v>
      </c>
      <c r="B247" s="67">
        <v>0</v>
      </c>
      <c r="C247" s="67">
        <v>1</v>
      </c>
      <c r="D247" s="67" t="s">
        <v>926</v>
      </c>
      <c r="E247" s="67" t="s">
        <v>1786</v>
      </c>
      <c r="F247" s="67" t="s">
        <v>12</v>
      </c>
      <c r="G247" s="67" t="s">
        <v>616</v>
      </c>
      <c r="H247" s="67"/>
      <c r="I247" s="67" t="s">
        <v>161</v>
      </c>
      <c r="J247" s="67" t="s">
        <v>161</v>
      </c>
      <c r="K247" s="67" t="s">
        <v>161</v>
      </c>
      <c r="L247" s="67" t="s">
        <v>618</v>
      </c>
      <c r="M247" s="67" t="s">
        <v>5270</v>
      </c>
      <c r="N247" s="67" t="s">
        <v>5270</v>
      </c>
      <c r="O247" s="67" t="s">
        <v>165</v>
      </c>
      <c r="P247" s="67" t="s">
        <v>161</v>
      </c>
    </row>
    <row r="248" customFormat="1" customHeight="1" spans="1:16">
      <c r="A248" s="67" t="s">
        <v>1089</v>
      </c>
      <c r="B248" s="67">
        <v>23.9</v>
      </c>
      <c r="C248" s="67">
        <v>2</v>
      </c>
      <c r="D248" s="67" t="s">
        <v>5192</v>
      </c>
      <c r="E248" s="67" t="s">
        <v>233</v>
      </c>
      <c r="F248" s="67" t="s">
        <v>12</v>
      </c>
      <c r="G248" s="67" t="s">
        <v>1092</v>
      </c>
      <c r="H248" s="67"/>
      <c r="I248" s="67" t="s">
        <v>161</v>
      </c>
      <c r="J248" s="67" t="s">
        <v>162</v>
      </c>
      <c r="K248" s="67" t="s">
        <v>161</v>
      </c>
      <c r="L248" s="67" t="s">
        <v>1094</v>
      </c>
      <c r="M248" s="67" t="s">
        <v>5271</v>
      </c>
      <c r="N248" s="67" t="s">
        <v>5271</v>
      </c>
      <c r="O248" s="67" t="s">
        <v>165</v>
      </c>
      <c r="P248" s="67" t="s">
        <v>161</v>
      </c>
    </row>
    <row r="249" customFormat="1" customHeight="1" spans="1:16">
      <c r="A249" s="67" t="s">
        <v>2007</v>
      </c>
      <c r="B249" s="67">
        <v>23.9</v>
      </c>
      <c r="C249" s="67">
        <v>1</v>
      </c>
      <c r="D249" s="67" t="s">
        <v>157</v>
      </c>
      <c r="E249" s="67" t="s">
        <v>5168</v>
      </c>
      <c r="F249" s="67" t="s">
        <v>12</v>
      </c>
      <c r="G249" s="67" t="s">
        <v>2008</v>
      </c>
      <c r="H249" s="67"/>
      <c r="I249" s="67" t="s">
        <v>161</v>
      </c>
      <c r="J249" s="67" t="s">
        <v>162</v>
      </c>
      <c r="K249" s="67" t="s">
        <v>161</v>
      </c>
      <c r="L249" s="67" t="s">
        <v>2010</v>
      </c>
      <c r="M249" s="67" t="s">
        <v>5170</v>
      </c>
      <c r="N249" s="67" t="s">
        <v>5170</v>
      </c>
      <c r="O249" s="67" t="s">
        <v>165</v>
      </c>
      <c r="P249" s="67" t="s">
        <v>161</v>
      </c>
    </row>
    <row r="250" customFormat="1" customHeight="1" spans="1:16">
      <c r="A250" s="67" t="s">
        <v>2120</v>
      </c>
      <c r="B250" s="67">
        <v>0</v>
      </c>
      <c r="C250" s="67">
        <v>1</v>
      </c>
      <c r="D250" s="67" t="s">
        <v>926</v>
      </c>
      <c r="E250" s="67" t="s">
        <v>1786</v>
      </c>
      <c r="F250" s="67" t="s">
        <v>78</v>
      </c>
      <c r="G250" s="67" t="s">
        <v>2123</v>
      </c>
      <c r="H250" s="67"/>
      <c r="I250" s="67" t="s">
        <v>161</v>
      </c>
      <c r="J250" s="67" t="s">
        <v>161</v>
      </c>
      <c r="K250" s="67" t="s">
        <v>161</v>
      </c>
      <c r="L250" s="67" t="s">
        <v>2125</v>
      </c>
      <c r="M250" s="67" t="s">
        <v>5272</v>
      </c>
      <c r="N250" s="67" t="s">
        <v>5272</v>
      </c>
      <c r="O250" s="67" t="s">
        <v>165</v>
      </c>
      <c r="P250" s="67" t="s">
        <v>161</v>
      </c>
    </row>
    <row r="251" customFormat="1" customHeight="1" spans="1:16">
      <c r="A251" s="67" t="s">
        <v>2448</v>
      </c>
      <c r="B251" s="67">
        <v>0</v>
      </c>
      <c r="C251" s="67">
        <v>2</v>
      </c>
      <c r="D251" s="67" t="s">
        <v>5273</v>
      </c>
      <c r="E251" s="67" t="s">
        <v>161</v>
      </c>
      <c r="F251" s="67" t="s">
        <v>12</v>
      </c>
      <c r="G251" s="67" t="s">
        <v>2451</v>
      </c>
      <c r="H251" s="67"/>
      <c r="I251" s="67" t="s">
        <v>161</v>
      </c>
      <c r="J251" s="67" t="s">
        <v>162</v>
      </c>
      <c r="K251" s="67" t="s">
        <v>161</v>
      </c>
      <c r="L251" s="67" t="s">
        <v>2453</v>
      </c>
      <c r="M251" s="67" t="s">
        <v>5274</v>
      </c>
      <c r="N251" s="67" t="s">
        <v>5274</v>
      </c>
      <c r="O251" s="67" t="s">
        <v>165</v>
      </c>
      <c r="P251" s="67" t="s">
        <v>161</v>
      </c>
    </row>
    <row r="252" customFormat="1" customHeight="1" spans="1:16">
      <c r="A252" s="67" t="s">
        <v>3092</v>
      </c>
      <c r="B252" s="67">
        <v>0</v>
      </c>
      <c r="C252" s="67">
        <v>1</v>
      </c>
      <c r="D252" s="67" t="s">
        <v>926</v>
      </c>
      <c r="E252" s="67" t="s">
        <v>1786</v>
      </c>
      <c r="F252" s="67" t="s">
        <v>12</v>
      </c>
      <c r="G252" s="67" t="s">
        <v>3093</v>
      </c>
      <c r="H252" s="67"/>
      <c r="I252" s="67" t="s">
        <v>161</v>
      </c>
      <c r="J252" s="67" t="s">
        <v>161</v>
      </c>
      <c r="K252" s="67" t="s">
        <v>161</v>
      </c>
      <c r="L252" s="67" t="s">
        <v>3095</v>
      </c>
      <c r="M252" s="67" t="s">
        <v>5275</v>
      </c>
      <c r="N252" s="67" t="s">
        <v>5275</v>
      </c>
      <c r="O252" s="67" t="s">
        <v>165</v>
      </c>
      <c r="P252" s="67" t="s">
        <v>161</v>
      </c>
    </row>
    <row r="253" customFormat="1" customHeight="1" spans="1:16">
      <c r="A253" s="67" t="s">
        <v>3136</v>
      </c>
      <c r="B253" s="67">
        <v>0</v>
      </c>
      <c r="C253" s="67">
        <v>1</v>
      </c>
      <c r="D253" s="67" t="s">
        <v>926</v>
      </c>
      <c r="E253" s="67" t="s">
        <v>1786</v>
      </c>
      <c r="F253" s="67" t="s">
        <v>12</v>
      </c>
      <c r="G253" s="67" t="s">
        <v>3138</v>
      </c>
      <c r="H253" s="67"/>
      <c r="I253" s="67" t="s">
        <v>161</v>
      </c>
      <c r="J253" s="67" t="s">
        <v>161</v>
      </c>
      <c r="K253" s="67" t="s">
        <v>161</v>
      </c>
      <c r="L253" s="67" t="s">
        <v>3140</v>
      </c>
      <c r="M253" s="67" t="s">
        <v>5276</v>
      </c>
      <c r="N253" s="67" t="s">
        <v>5276</v>
      </c>
      <c r="O253" s="67" t="s">
        <v>165</v>
      </c>
      <c r="P253" s="67" t="s">
        <v>161</v>
      </c>
    </row>
    <row r="254" customFormat="1" customHeight="1" spans="1:16">
      <c r="A254" s="67" t="s">
        <v>3219</v>
      </c>
      <c r="B254" s="67">
        <v>0</v>
      </c>
      <c r="C254" s="67">
        <v>1</v>
      </c>
      <c r="D254" s="67" t="s">
        <v>926</v>
      </c>
      <c r="E254" s="67" t="s">
        <v>1786</v>
      </c>
      <c r="F254" s="67" t="s">
        <v>12</v>
      </c>
      <c r="G254" s="67" t="s">
        <v>3220</v>
      </c>
      <c r="H254" s="67"/>
      <c r="I254" s="67" t="s">
        <v>161</v>
      </c>
      <c r="J254" s="67" t="s">
        <v>161</v>
      </c>
      <c r="K254" s="67" t="s">
        <v>161</v>
      </c>
      <c r="L254" s="67" t="s">
        <v>3222</v>
      </c>
      <c r="M254" s="67" t="s">
        <v>5277</v>
      </c>
      <c r="N254" s="67" t="s">
        <v>5277</v>
      </c>
      <c r="O254" s="67" t="s">
        <v>165</v>
      </c>
      <c r="P254" s="67" t="s">
        <v>161</v>
      </c>
    </row>
    <row r="255" customFormat="1" customHeight="1"/>
    <row r="259" customHeight="1" spans="1:7">
      <c r="A259" s="70" t="s">
        <v>5278</v>
      </c>
      <c r="B259" s="71"/>
      <c r="C259" s="71"/>
      <c r="D259" s="71"/>
      <c r="E259" s="71"/>
      <c r="F259" s="71"/>
      <c r="G259" s="72"/>
    </row>
    <row r="260" customHeight="1" spans="1:7">
      <c r="A260" s="73"/>
      <c r="B260" s="74"/>
      <c r="C260" s="74"/>
      <c r="D260" s="74"/>
      <c r="E260" s="74"/>
      <c r="F260" s="74"/>
      <c r="G260" s="75"/>
    </row>
    <row r="261" customHeight="1" spans="1:7">
      <c r="A261" s="73"/>
      <c r="B261" s="74"/>
      <c r="C261" s="74"/>
      <c r="D261" s="74"/>
      <c r="E261" s="74"/>
      <c r="F261" s="74"/>
      <c r="G261" s="75"/>
    </row>
    <row r="262" customHeight="1" spans="1:7">
      <c r="A262" s="73"/>
      <c r="B262" s="74"/>
      <c r="C262" s="74"/>
      <c r="D262" s="74"/>
      <c r="E262" s="74"/>
      <c r="F262" s="74"/>
      <c r="G262" s="75"/>
    </row>
    <row r="263" customHeight="1" spans="1:7">
      <c r="A263" s="76"/>
      <c r="B263" s="77"/>
      <c r="C263" s="77"/>
      <c r="D263" s="77"/>
      <c r="E263" s="77"/>
      <c r="F263" s="77"/>
      <c r="G263" s="78"/>
    </row>
  </sheetData>
  <autoFilter xmlns:etc="http://www.wps.cn/officeDocument/2017/etCustomData" ref="A1:P254" etc:filterBottomFollowUsedRange="0">
    <filterColumn colId="8">
      <filters blank="1"/>
    </filterColumn>
    <sortState ref="A2:P254">
      <sortCondition ref="A2"/>
    </sortState>
    <extLst/>
  </autoFilter>
  <mergeCells count="1">
    <mergeCell ref="A259:G26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1"/>
  <sheetViews>
    <sheetView topLeftCell="A129" workbookViewId="0">
      <selection activeCell="F155" sqref="F155"/>
    </sheetView>
  </sheetViews>
  <sheetFormatPr defaultColWidth="9.14285714285714" defaultRowHeight="15.2"/>
  <cols>
    <col min="2" max="2" width="17.7053571428571" customWidth="1"/>
    <col min="3" max="3" width="22.4642857142857" customWidth="1"/>
    <col min="4" max="4" width="26.7857142857143" customWidth="1"/>
    <col min="5" max="5" width="29.0178571428571" customWidth="1"/>
    <col min="8" max="8" width="13.3928571428571" customWidth="1"/>
    <col min="9" max="9" width="17.8482142857143" customWidth="1"/>
    <col min="22" max="22" width="23.8035714285714" customWidth="1"/>
    <col min="30" max="30" width="15.4732142857143" customWidth="1"/>
  </cols>
  <sheetData>
    <row r="1" ht="16.8" spans="1:31">
      <c r="A1" s="43" t="s">
        <v>5279</v>
      </c>
      <c r="B1" s="43" t="s">
        <v>5280</v>
      </c>
      <c r="C1" s="43" t="s">
        <v>5281</v>
      </c>
      <c r="D1" s="43" t="s">
        <v>5282</v>
      </c>
      <c r="E1" s="43" t="s">
        <v>5283</v>
      </c>
      <c r="F1" s="43" t="s">
        <v>5284</v>
      </c>
      <c r="G1" s="43" t="s">
        <v>6</v>
      </c>
      <c r="H1" s="43" t="s">
        <v>5285</v>
      </c>
      <c r="I1" s="43" t="s">
        <v>5286</v>
      </c>
      <c r="J1" s="43" t="s">
        <v>5287</v>
      </c>
      <c r="K1" s="43" t="s">
        <v>5288</v>
      </c>
      <c r="L1" s="43" t="s">
        <v>5289</v>
      </c>
      <c r="M1" s="43" t="s">
        <v>5290</v>
      </c>
      <c r="N1" s="43" t="s">
        <v>5291</v>
      </c>
      <c r="O1" s="43" t="s">
        <v>5292</v>
      </c>
      <c r="P1" s="43" t="s">
        <v>5293</v>
      </c>
      <c r="Q1" s="43" t="s">
        <v>5294</v>
      </c>
      <c r="R1" s="43" t="s">
        <v>5295</v>
      </c>
      <c r="S1" s="43" t="s">
        <v>5296</v>
      </c>
      <c r="T1" s="43" t="s">
        <v>5297</v>
      </c>
      <c r="U1" s="43" t="s">
        <v>5298</v>
      </c>
      <c r="V1" s="43" t="s">
        <v>5299</v>
      </c>
      <c r="W1" s="43" t="s">
        <v>5300</v>
      </c>
      <c r="X1" s="43" t="s">
        <v>5301</v>
      </c>
      <c r="Y1" s="43" t="s">
        <v>5302</v>
      </c>
      <c r="Z1" s="43" t="s">
        <v>5303</v>
      </c>
      <c r="AA1" s="43" t="s">
        <v>5304</v>
      </c>
      <c r="AB1" s="43" t="s">
        <v>5305</v>
      </c>
      <c r="AC1" s="43" t="s">
        <v>5306</v>
      </c>
      <c r="AD1" s="43" t="s">
        <v>5307</v>
      </c>
      <c r="AE1" s="43" t="s">
        <v>5308</v>
      </c>
    </row>
    <row r="2" ht="16.8" spans="1:31">
      <c r="A2" s="43" t="s">
        <v>5309</v>
      </c>
      <c r="B2" s="44">
        <v>46230</v>
      </c>
      <c r="C2" s="43" t="s">
        <v>5310</v>
      </c>
      <c r="D2" s="45">
        <v>46230.6144148727</v>
      </c>
      <c r="E2" s="43" t="s">
        <v>5311</v>
      </c>
      <c r="F2" s="43" t="s">
        <v>5312</v>
      </c>
      <c r="G2" s="43" t="s">
        <v>5313</v>
      </c>
      <c r="H2" s="43"/>
      <c r="I2" s="46">
        <v>2.66</v>
      </c>
      <c r="J2" s="46">
        <v>0</v>
      </c>
      <c r="K2" s="46">
        <v>2.66</v>
      </c>
      <c r="L2" s="43" t="s">
        <v>5314</v>
      </c>
      <c r="M2" s="46">
        <v>0</v>
      </c>
      <c r="N2" s="43"/>
      <c r="O2" s="43" t="s">
        <v>5315</v>
      </c>
      <c r="P2" s="43" t="s">
        <v>5316</v>
      </c>
      <c r="Q2" s="47">
        <v>1</v>
      </c>
      <c r="R2" s="43" t="s">
        <v>5317</v>
      </c>
      <c r="S2" s="43" t="s">
        <v>5318</v>
      </c>
      <c r="T2" s="43" t="s">
        <v>5319</v>
      </c>
      <c r="U2" s="43" t="s">
        <v>5320</v>
      </c>
      <c r="V2" s="43" t="s">
        <v>5321</v>
      </c>
      <c r="W2" s="43" t="s">
        <v>5322</v>
      </c>
      <c r="X2" s="43" t="s">
        <v>5323</v>
      </c>
      <c r="Y2" s="43" t="s">
        <v>5324</v>
      </c>
      <c r="Z2" s="43" t="s">
        <v>5325</v>
      </c>
      <c r="AA2" s="43" t="s">
        <v>5326</v>
      </c>
      <c r="AB2" s="43"/>
      <c r="AC2" s="43" t="s">
        <v>5327</v>
      </c>
      <c r="AD2" s="43" t="s">
        <v>5328</v>
      </c>
      <c r="AE2" s="43" t="s">
        <v>5324</v>
      </c>
    </row>
    <row r="3" ht="16.8" spans="1:31">
      <c r="A3" s="43" t="s">
        <v>5309</v>
      </c>
      <c r="B3" s="44">
        <v>46230</v>
      </c>
      <c r="C3" s="43" t="s">
        <v>5310</v>
      </c>
      <c r="D3" s="45">
        <v>46230.6186474884</v>
      </c>
      <c r="E3" s="43" t="s">
        <v>5329</v>
      </c>
      <c r="F3" s="43" t="s">
        <v>5312</v>
      </c>
      <c r="G3" s="43" t="s">
        <v>5330</v>
      </c>
      <c r="H3" s="43"/>
      <c r="I3" s="46">
        <v>2.66</v>
      </c>
      <c r="J3" s="46">
        <v>0</v>
      </c>
      <c r="K3" s="46">
        <v>2.66</v>
      </c>
      <c r="L3" s="43" t="s">
        <v>5314</v>
      </c>
      <c r="M3" s="46">
        <v>0</v>
      </c>
      <c r="N3" s="43"/>
      <c r="O3" s="43" t="s">
        <v>5315</v>
      </c>
      <c r="P3" s="43" t="s">
        <v>5316</v>
      </c>
      <c r="Q3" s="47">
        <v>1</v>
      </c>
      <c r="R3" s="43" t="s">
        <v>5317</v>
      </c>
      <c r="S3" s="43" t="s">
        <v>5331</v>
      </c>
      <c r="T3" s="43" t="s">
        <v>5319</v>
      </c>
      <c r="U3" s="43" t="s">
        <v>5320</v>
      </c>
      <c r="V3" s="43" t="s">
        <v>5321</v>
      </c>
      <c r="W3" s="43" t="s">
        <v>5322</v>
      </c>
      <c r="X3" s="43" t="s">
        <v>5323</v>
      </c>
      <c r="Y3" s="43" t="s">
        <v>5324</v>
      </c>
      <c r="Z3" s="43" t="s">
        <v>5332</v>
      </c>
      <c r="AA3" s="43" t="s">
        <v>5333</v>
      </c>
      <c r="AB3" s="43"/>
      <c r="AC3" s="43" t="s">
        <v>5334</v>
      </c>
      <c r="AD3" s="43" t="s">
        <v>5335</v>
      </c>
      <c r="AE3" s="43" t="s">
        <v>5324</v>
      </c>
    </row>
    <row r="4" ht="16.8" spans="1:31">
      <c r="A4" s="43" t="s">
        <v>5309</v>
      </c>
      <c r="B4" s="44">
        <v>46230</v>
      </c>
      <c r="C4" s="43" t="s">
        <v>5310</v>
      </c>
      <c r="D4" s="45">
        <v>46230.6209297454</v>
      </c>
      <c r="E4" s="43" t="s">
        <v>5336</v>
      </c>
      <c r="F4" s="43" t="s">
        <v>5312</v>
      </c>
      <c r="G4" s="43" t="s">
        <v>5337</v>
      </c>
      <c r="H4" s="43"/>
      <c r="I4" s="46">
        <v>3.64</v>
      </c>
      <c r="J4" s="46">
        <v>0</v>
      </c>
      <c r="K4" s="46">
        <v>3.64</v>
      </c>
      <c r="L4" s="43" t="s">
        <v>5314</v>
      </c>
      <c r="M4" s="46">
        <v>0</v>
      </c>
      <c r="N4" s="43"/>
      <c r="O4" s="43" t="s">
        <v>5315</v>
      </c>
      <c r="P4" s="43" t="s">
        <v>5316</v>
      </c>
      <c r="Q4" s="47">
        <v>1</v>
      </c>
      <c r="R4" s="43" t="s">
        <v>5317</v>
      </c>
      <c r="S4" s="43" t="s">
        <v>5331</v>
      </c>
      <c r="T4" s="43" t="s">
        <v>5319</v>
      </c>
      <c r="U4" s="43" t="s">
        <v>5320</v>
      </c>
      <c r="V4" s="43" t="s">
        <v>5321</v>
      </c>
      <c r="W4" s="43" t="s">
        <v>5322</v>
      </c>
      <c r="X4" s="43" t="s">
        <v>5323</v>
      </c>
      <c r="Y4" s="43" t="s">
        <v>5324</v>
      </c>
      <c r="Z4" s="43" t="s">
        <v>5338</v>
      </c>
      <c r="AA4" s="43" t="s">
        <v>5339</v>
      </c>
      <c r="AB4" s="43"/>
      <c r="AC4" s="43" t="s">
        <v>5340</v>
      </c>
      <c r="AD4" s="43" t="s">
        <v>5341</v>
      </c>
      <c r="AE4" s="43" t="s">
        <v>5324</v>
      </c>
    </row>
    <row r="5" ht="16.8" spans="1:31">
      <c r="A5" s="43" t="s">
        <v>5309</v>
      </c>
      <c r="B5" s="44">
        <v>46230</v>
      </c>
      <c r="C5" s="43" t="s">
        <v>5310</v>
      </c>
      <c r="D5" s="45">
        <v>46230.6228035532</v>
      </c>
      <c r="E5" s="43" t="s">
        <v>5342</v>
      </c>
      <c r="F5" s="43" t="s">
        <v>5312</v>
      </c>
      <c r="G5" s="43" t="s">
        <v>5343</v>
      </c>
      <c r="H5" s="43"/>
      <c r="I5" s="46">
        <v>2.66</v>
      </c>
      <c r="J5" s="46">
        <v>0</v>
      </c>
      <c r="K5" s="46">
        <v>2.66</v>
      </c>
      <c r="L5" s="43" t="s">
        <v>5314</v>
      </c>
      <c r="M5" s="46">
        <v>0</v>
      </c>
      <c r="N5" s="43"/>
      <c r="O5" s="43" t="s">
        <v>5315</v>
      </c>
      <c r="P5" s="43" t="s">
        <v>5316</v>
      </c>
      <c r="Q5" s="47">
        <v>1</v>
      </c>
      <c r="R5" s="43" t="s">
        <v>5317</v>
      </c>
      <c r="S5" s="43" t="s">
        <v>5344</v>
      </c>
      <c r="T5" s="43" t="s">
        <v>5319</v>
      </c>
      <c r="U5" s="43" t="s">
        <v>5320</v>
      </c>
      <c r="V5" s="43" t="s">
        <v>5321</v>
      </c>
      <c r="W5" s="43" t="s">
        <v>5322</v>
      </c>
      <c r="X5" s="43" t="s">
        <v>5323</v>
      </c>
      <c r="Y5" s="43" t="s">
        <v>5324</v>
      </c>
      <c r="Z5" s="43" t="s">
        <v>5345</v>
      </c>
      <c r="AA5" s="43" t="s">
        <v>5346</v>
      </c>
      <c r="AB5" s="43"/>
      <c r="AC5" s="43" t="s">
        <v>5347</v>
      </c>
      <c r="AD5" s="43" t="s">
        <v>5348</v>
      </c>
      <c r="AE5" s="43" t="s">
        <v>5324</v>
      </c>
    </row>
    <row r="6" ht="16.8" spans="1:31">
      <c r="A6" s="43" t="s">
        <v>5309</v>
      </c>
      <c r="B6" s="44">
        <v>46230</v>
      </c>
      <c r="C6" s="43" t="s">
        <v>5310</v>
      </c>
      <c r="D6" s="45">
        <v>46230.6242344792</v>
      </c>
      <c r="E6" s="43" t="s">
        <v>5349</v>
      </c>
      <c r="F6" s="43" t="s">
        <v>5312</v>
      </c>
      <c r="G6" s="43" t="s">
        <v>5350</v>
      </c>
      <c r="H6" s="43"/>
      <c r="I6" s="46">
        <v>2.66</v>
      </c>
      <c r="J6" s="46">
        <v>0</v>
      </c>
      <c r="K6" s="46">
        <v>2.66</v>
      </c>
      <c r="L6" s="43" t="s">
        <v>5314</v>
      </c>
      <c r="M6" s="46">
        <v>0</v>
      </c>
      <c r="N6" s="43"/>
      <c r="O6" s="43" t="s">
        <v>5315</v>
      </c>
      <c r="P6" s="43" t="s">
        <v>5316</v>
      </c>
      <c r="Q6" s="47">
        <v>1</v>
      </c>
      <c r="R6" s="43" t="s">
        <v>5317</v>
      </c>
      <c r="S6" s="43" t="s">
        <v>5351</v>
      </c>
      <c r="T6" s="43" t="s">
        <v>5319</v>
      </c>
      <c r="U6" s="43" t="s">
        <v>5320</v>
      </c>
      <c r="V6" s="43" t="s">
        <v>5321</v>
      </c>
      <c r="W6" s="43" t="s">
        <v>5322</v>
      </c>
      <c r="X6" s="43" t="s">
        <v>5323</v>
      </c>
      <c r="Y6" s="43" t="s">
        <v>5324</v>
      </c>
      <c r="Z6" s="43" t="s">
        <v>5352</v>
      </c>
      <c r="AA6" s="43" t="s">
        <v>5353</v>
      </c>
      <c r="AB6" s="43"/>
      <c r="AC6" s="43" t="s">
        <v>5354</v>
      </c>
      <c r="AD6" s="43" t="s">
        <v>5355</v>
      </c>
      <c r="AE6" s="43" t="s">
        <v>5324</v>
      </c>
    </row>
    <row r="7" ht="16.8" spans="1:31">
      <c r="A7" s="43" t="s">
        <v>5309</v>
      </c>
      <c r="B7" s="44">
        <v>46230</v>
      </c>
      <c r="C7" s="43" t="s">
        <v>5310</v>
      </c>
      <c r="D7" s="45">
        <v>46230.6261488079</v>
      </c>
      <c r="E7" s="43" t="s">
        <v>5356</v>
      </c>
      <c r="F7" s="43" t="s">
        <v>5312</v>
      </c>
      <c r="G7" s="43" t="s">
        <v>5357</v>
      </c>
      <c r="H7" s="43"/>
      <c r="I7" s="46">
        <v>2.66</v>
      </c>
      <c r="J7" s="46">
        <v>0</v>
      </c>
      <c r="K7" s="46">
        <v>2.66</v>
      </c>
      <c r="L7" s="43" t="s">
        <v>5314</v>
      </c>
      <c r="M7" s="46">
        <v>0</v>
      </c>
      <c r="N7" s="43"/>
      <c r="O7" s="43" t="s">
        <v>5315</v>
      </c>
      <c r="P7" s="43" t="s">
        <v>5316</v>
      </c>
      <c r="Q7" s="47">
        <v>1</v>
      </c>
      <c r="R7" s="43" t="s">
        <v>5317</v>
      </c>
      <c r="S7" s="43" t="s">
        <v>5351</v>
      </c>
      <c r="T7" s="43" t="s">
        <v>5319</v>
      </c>
      <c r="U7" s="43" t="s">
        <v>5320</v>
      </c>
      <c r="V7" s="43" t="s">
        <v>5321</v>
      </c>
      <c r="W7" s="43" t="s">
        <v>5322</v>
      </c>
      <c r="X7" s="43" t="s">
        <v>5323</v>
      </c>
      <c r="Y7" s="43" t="s">
        <v>5324</v>
      </c>
      <c r="Z7" s="43" t="s">
        <v>5358</v>
      </c>
      <c r="AA7" s="43" t="s">
        <v>5359</v>
      </c>
      <c r="AB7" s="43"/>
      <c r="AC7" s="43" t="s">
        <v>5360</v>
      </c>
      <c r="AD7" s="43" t="s">
        <v>5361</v>
      </c>
      <c r="AE7" s="43" t="s">
        <v>5324</v>
      </c>
    </row>
    <row r="8" ht="16.8" spans="1:31">
      <c r="A8" s="43" t="s">
        <v>5309</v>
      </c>
      <c r="B8" s="44">
        <v>46230</v>
      </c>
      <c r="C8" s="43" t="s">
        <v>5310</v>
      </c>
      <c r="D8" s="45">
        <v>46230.631666088</v>
      </c>
      <c r="E8" s="43" t="s">
        <v>5362</v>
      </c>
      <c r="F8" s="43" t="s">
        <v>5312</v>
      </c>
      <c r="G8" s="43" t="s">
        <v>5363</v>
      </c>
      <c r="H8" s="43"/>
      <c r="I8" s="46">
        <v>2.66</v>
      </c>
      <c r="J8" s="46">
        <v>0</v>
      </c>
      <c r="K8" s="46">
        <v>2.66</v>
      </c>
      <c r="L8" s="43" t="s">
        <v>5314</v>
      </c>
      <c r="M8" s="46">
        <v>0</v>
      </c>
      <c r="N8" s="43"/>
      <c r="O8" s="43" t="s">
        <v>5315</v>
      </c>
      <c r="P8" s="43" t="s">
        <v>5316</v>
      </c>
      <c r="Q8" s="47">
        <v>1</v>
      </c>
      <c r="R8" s="43" t="s">
        <v>5317</v>
      </c>
      <c r="S8" s="43" t="s">
        <v>5351</v>
      </c>
      <c r="T8" s="43" t="s">
        <v>5319</v>
      </c>
      <c r="U8" s="43" t="s">
        <v>5320</v>
      </c>
      <c r="V8" s="43" t="s">
        <v>5321</v>
      </c>
      <c r="W8" s="43" t="s">
        <v>5322</v>
      </c>
      <c r="X8" s="43" t="s">
        <v>5323</v>
      </c>
      <c r="Y8" s="43" t="s">
        <v>5324</v>
      </c>
      <c r="Z8" s="43" t="s">
        <v>5364</v>
      </c>
      <c r="AA8" s="43" t="s">
        <v>5365</v>
      </c>
      <c r="AB8" s="43"/>
      <c r="AC8" s="43" t="s">
        <v>5366</v>
      </c>
      <c r="AD8" s="43" t="s">
        <v>5367</v>
      </c>
      <c r="AE8" s="43" t="s">
        <v>5324</v>
      </c>
    </row>
    <row r="9" ht="16.8" spans="1:31">
      <c r="A9" s="43" t="s">
        <v>5309</v>
      </c>
      <c r="B9" s="44">
        <v>46230</v>
      </c>
      <c r="C9" s="43" t="s">
        <v>5310</v>
      </c>
      <c r="D9" s="45">
        <v>46230.633426169</v>
      </c>
      <c r="E9" s="43" t="s">
        <v>5368</v>
      </c>
      <c r="F9" s="43" t="s">
        <v>5312</v>
      </c>
      <c r="G9" s="43" t="s">
        <v>5369</v>
      </c>
      <c r="H9" s="43"/>
      <c r="I9" s="46">
        <v>2.66</v>
      </c>
      <c r="J9" s="46">
        <v>0</v>
      </c>
      <c r="K9" s="46">
        <v>2.66</v>
      </c>
      <c r="L9" s="43" t="s">
        <v>5314</v>
      </c>
      <c r="M9" s="46">
        <v>0</v>
      </c>
      <c r="N9" s="43"/>
      <c r="O9" s="43" t="s">
        <v>5315</v>
      </c>
      <c r="P9" s="43" t="s">
        <v>5316</v>
      </c>
      <c r="Q9" s="47">
        <v>1</v>
      </c>
      <c r="R9" s="43" t="s">
        <v>5317</v>
      </c>
      <c r="S9" s="43" t="s">
        <v>5351</v>
      </c>
      <c r="T9" s="43" t="s">
        <v>5319</v>
      </c>
      <c r="U9" s="43" t="s">
        <v>5320</v>
      </c>
      <c r="V9" s="43" t="s">
        <v>5321</v>
      </c>
      <c r="W9" s="43" t="s">
        <v>5322</v>
      </c>
      <c r="X9" s="43" t="s">
        <v>5323</v>
      </c>
      <c r="Y9" s="43" t="s">
        <v>5324</v>
      </c>
      <c r="Z9" s="43" t="s">
        <v>5370</v>
      </c>
      <c r="AA9" s="43" t="s">
        <v>5371</v>
      </c>
      <c r="AB9" s="43"/>
      <c r="AC9" s="43" t="s">
        <v>5372</v>
      </c>
      <c r="AD9" s="43" t="s">
        <v>5373</v>
      </c>
      <c r="AE9" s="43" t="s">
        <v>5324</v>
      </c>
    </row>
    <row r="10" ht="16.8" spans="1:31">
      <c r="A10" s="43" t="s">
        <v>5309</v>
      </c>
      <c r="B10" s="44">
        <v>46230</v>
      </c>
      <c r="C10" s="43" t="s">
        <v>5310</v>
      </c>
      <c r="D10" s="45">
        <v>46230.6349718171</v>
      </c>
      <c r="E10" s="43" t="s">
        <v>5374</v>
      </c>
      <c r="F10" s="43" t="s">
        <v>5312</v>
      </c>
      <c r="G10" s="43" t="s">
        <v>5375</v>
      </c>
      <c r="H10" s="43"/>
      <c r="I10" s="46">
        <v>2.66</v>
      </c>
      <c r="J10" s="46">
        <v>0</v>
      </c>
      <c r="K10" s="46">
        <v>2.66</v>
      </c>
      <c r="L10" s="43" t="s">
        <v>5314</v>
      </c>
      <c r="M10" s="46">
        <v>0</v>
      </c>
      <c r="N10" s="43"/>
      <c r="O10" s="43" t="s">
        <v>5315</v>
      </c>
      <c r="P10" s="43" t="s">
        <v>5316</v>
      </c>
      <c r="Q10" s="47">
        <v>1</v>
      </c>
      <c r="R10" s="43" t="s">
        <v>5317</v>
      </c>
      <c r="S10" s="43" t="s">
        <v>5351</v>
      </c>
      <c r="T10" s="43" t="s">
        <v>5319</v>
      </c>
      <c r="U10" s="43" t="s">
        <v>5320</v>
      </c>
      <c r="V10" s="43" t="s">
        <v>5321</v>
      </c>
      <c r="W10" s="43" t="s">
        <v>5322</v>
      </c>
      <c r="X10" s="43" t="s">
        <v>5323</v>
      </c>
      <c r="Y10" s="43" t="s">
        <v>5324</v>
      </c>
      <c r="Z10" s="43" t="s">
        <v>5376</v>
      </c>
      <c r="AA10" s="43" t="s">
        <v>5377</v>
      </c>
      <c r="AB10" s="43"/>
      <c r="AC10" s="43" t="s">
        <v>5378</v>
      </c>
      <c r="AD10" s="43" t="s">
        <v>5379</v>
      </c>
      <c r="AE10" s="43" t="s">
        <v>5324</v>
      </c>
    </row>
    <row r="11" ht="16.8" spans="1:31">
      <c r="A11" s="43" t="s">
        <v>5309</v>
      </c>
      <c r="B11" s="44">
        <v>46230</v>
      </c>
      <c r="C11" s="43" t="s">
        <v>5310</v>
      </c>
      <c r="D11" s="45">
        <v>46230.6379511458</v>
      </c>
      <c r="E11" s="43" t="s">
        <v>5380</v>
      </c>
      <c r="F11" s="43" t="s">
        <v>5312</v>
      </c>
      <c r="G11" s="43" t="s">
        <v>5381</v>
      </c>
      <c r="H11" s="43"/>
      <c r="I11" s="46">
        <v>3.64</v>
      </c>
      <c r="J11" s="46">
        <v>0</v>
      </c>
      <c r="K11" s="46">
        <v>3.64</v>
      </c>
      <c r="L11" s="43" t="s">
        <v>5314</v>
      </c>
      <c r="M11" s="46">
        <v>0</v>
      </c>
      <c r="N11" s="43"/>
      <c r="O11" s="43" t="s">
        <v>5315</v>
      </c>
      <c r="P11" s="43" t="s">
        <v>5316</v>
      </c>
      <c r="Q11" s="47">
        <v>1</v>
      </c>
      <c r="R11" s="43" t="s">
        <v>5317</v>
      </c>
      <c r="S11" s="43" t="s">
        <v>5382</v>
      </c>
      <c r="T11" s="43" t="s">
        <v>5319</v>
      </c>
      <c r="U11" s="43" t="s">
        <v>5320</v>
      </c>
      <c r="V11" s="43" t="s">
        <v>5321</v>
      </c>
      <c r="W11" s="43" t="s">
        <v>5322</v>
      </c>
      <c r="X11" s="43" t="s">
        <v>5323</v>
      </c>
      <c r="Y11" s="43" t="s">
        <v>5324</v>
      </c>
      <c r="Z11" s="43" t="s">
        <v>5383</v>
      </c>
      <c r="AA11" s="43" t="s">
        <v>5384</v>
      </c>
      <c r="AB11" s="43"/>
      <c r="AC11" s="43" t="s">
        <v>5385</v>
      </c>
      <c r="AD11" s="43" t="s">
        <v>5386</v>
      </c>
      <c r="AE11" s="43" t="s">
        <v>5324</v>
      </c>
    </row>
    <row r="12" ht="16.8" spans="1:31">
      <c r="A12" s="43" t="s">
        <v>5309</v>
      </c>
      <c r="B12" s="44">
        <v>46230</v>
      </c>
      <c r="C12" s="43" t="s">
        <v>5310</v>
      </c>
      <c r="D12" s="45">
        <v>46230.6391752546</v>
      </c>
      <c r="E12" s="43" t="s">
        <v>5387</v>
      </c>
      <c r="F12" s="43" t="s">
        <v>5312</v>
      </c>
      <c r="G12" s="43" t="s">
        <v>5388</v>
      </c>
      <c r="H12" s="43"/>
      <c r="I12" s="46">
        <v>2.66</v>
      </c>
      <c r="J12" s="46">
        <v>0</v>
      </c>
      <c r="K12" s="46">
        <v>2.66</v>
      </c>
      <c r="L12" s="43" t="s">
        <v>5314</v>
      </c>
      <c r="M12" s="46">
        <v>0</v>
      </c>
      <c r="N12" s="43"/>
      <c r="O12" s="43" t="s">
        <v>5315</v>
      </c>
      <c r="P12" s="43" t="s">
        <v>5316</v>
      </c>
      <c r="Q12" s="47">
        <v>1</v>
      </c>
      <c r="R12" s="43" t="s">
        <v>5317</v>
      </c>
      <c r="S12" s="43" t="s">
        <v>5351</v>
      </c>
      <c r="T12" s="43" t="s">
        <v>5319</v>
      </c>
      <c r="U12" s="43" t="s">
        <v>5320</v>
      </c>
      <c r="V12" s="43" t="s">
        <v>5321</v>
      </c>
      <c r="W12" s="43" t="s">
        <v>5322</v>
      </c>
      <c r="X12" s="43" t="s">
        <v>5323</v>
      </c>
      <c r="Y12" s="43" t="s">
        <v>5324</v>
      </c>
      <c r="Z12" s="43" t="s">
        <v>5389</v>
      </c>
      <c r="AA12" s="43" t="s">
        <v>5390</v>
      </c>
      <c r="AB12" s="43"/>
      <c r="AC12" s="43" t="s">
        <v>5391</v>
      </c>
      <c r="AD12" s="43" t="s">
        <v>5392</v>
      </c>
      <c r="AE12" s="43" t="s">
        <v>5324</v>
      </c>
    </row>
    <row r="13" ht="16.8" spans="1:31">
      <c r="A13" s="43" t="s">
        <v>5309</v>
      </c>
      <c r="B13" s="44">
        <v>46230</v>
      </c>
      <c r="C13" s="43" t="s">
        <v>5310</v>
      </c>
      <c r="D13" s="45">
        <v>46230.6410779167</v>
      </c>
      <c r="E13" s="43" t="s">
        <v>5393</v>
      </c>
      <c r="F13" s="43" t="s">
        <v>5312</v>
      </c>
      <c r="G13" s="43" t="s">
        <v>5394</v>
      </c>
      <c r="H13" s="43"/>
      <c r="I13" s="46">
        <v>3.64</v>
      </c>
      <c r="J13" s="46">
        <v>0</v>
      </c>
      <c r="K13" s="46">
        <v>3.64</v>
      </c>
      <c r="L13" s="43" t="s">
        <v>5314</v>
      </c>
      <c r="M13" s="46">
        <v>0</v>
      </c>
      <c r="N13" s="43"/>
      <c r="O13" s="43" t="s">
        <v>5315</v>
      </c>
      <c r="P13" s="43" t="s">
        <v>5316</v>
      </c>
      <c r="Q13" s="47">
        <v>1</v>
      </c>
      <c r="R13" s="43" t="s">
        <v>5317</v>
      </c>
      <c r="S13" s="43" t="s">
        <v>5382</v>
      </c>
      <c r="T13" s="43" t="s">
        <v>5319</v>
      </c>
      <c r="U13" s="43" t="s">
        <v>5320</v>
      </c>
      <c r="V13" s="43" t="s">
        <v>5321</v>
      </c>
      <c r="W13" s="43" t="s">
        <v>5322</v>
      </c>
      <c r="X13" s="43" t="s">
        <v>5323</v>
      </c>
      <c r="Y13" s="43" t="s">
        <v>5324</v>
      </c>
      <c r="Z13" s="43" t="s">
        <v>5395</v>
      </c>
      <c r="AA13" s="43" t="s">
        <v>5396</v>
      </c>
      <c r="AB13" s="43"/>
      <c r="AC13" s="43" t="s">
        <v>5397</v>
      </c>
      <c r="AD13" s="43" t="s">
        <v>5398</v>
      </c>
      <c r="AE13" s="43" t="s">
        <v>5324</v>
      </c>
    </row>
    <row r="14" ht="16.8" spans="1:31">
      <c r="A14" s="43" t="s">
        <v>5309</v>
      </c>
      <c r="B14" s="44">
        <v>46230</v>
      </c>
      <c r="C14" s="43" t="s">
        <v>5310</v>
      </c>
      <c r="D14" s="45">
        <v>46230.6422767477</v>
      </c>
      <c r="E14" s="43" t="s">
        <v>5399</v>
      </c>
      <c r="F14" s="43" t="s">
        <v>5312</v>
      </c>
      <c r="G14" s="43" t="s">
        <v>5400</v>
      </c>
      <c r="H14" s="43"/>
      <c r="I14" s="46">
        <v>2.66</v>
      </c>
      <c r="J14" s="46">
        <v>0</v>
      </c>
      <c r="K14" s="46">
        <v>2.66</v>
      </c>
      <c r="L14" s="43" t="s">
        <v>5314</v>
      </c>
      <c r="M14" s="46">
        <v>0</v>
      </c>
      <c r="N14" s="43"/>
      <c r="O14" s="43" t="s">
        <v>5315</v>
      </c>
      <c r="P14" s="43" t="s">
        <v>5316</v>
      </c>
      <c r="Q14" s="47">
        <v>1</v>
      </c>
      <c r="R14" s="43" t="s">
        <v>5317</v>
      </c>
      <c r="S14" s="43" t="s">
        <v>5351</v>
      </c>
      <c r="T14" s="43" t="s">
        <v>5319</v>
      </c>
      <c r="U14" s="43" t="s">
        <v>5320</v>
      </c>
      <c r="V14" s="43" t="s">
        <v>5321</v>
      </c>
      <c r="W14" s="43" t="s">
        <v>5322</v>
      </c>
      <c r="X14" s="43" t="s">
        <v>5323</v>
      </c>
      <c r="Y14" s="43" t="s">
        <v>5324</v>
      </c>
      <c r="Z14" s="43" t="s">
        <v>5401</v>
      </c>
      <c r="AA14" s="43" t="s">
        <v>5402</v>
      </c>
      <c r="AB14" s="43"/>
      <c r="AC14" s="43" t="s">
        <v>5403</v>
      </c>
      <c r="AD14" s="43" t="s">
        <v>5404</v>
      </c>
      <c r="AE14" s="43" t="s">
        <v>5324</v>
      </c>
    </row>
    <row r="15" ht="16.8" spans="1:31">
      <c r="A15" s="43" t="s">
        <v>5309</v>
      </c>
      <c r="B15" s="44">
        <v>46230</v>
      </c>
      <c r="C15" s="43" t="s">
        <v>5310</v>
      </c>
      <c r="D15" s="45">
        <v>46230.6435758912</v>
      </c>
      <c r="E15" s="43" t="s">
        <v>5405</v>
      </c>
      <c r="F15" s="43" t="s">
        <v>5312</v>
      </c>
      <c r="G15" s="43" t="s">
        <v>5406</v>
      </c>
      <c r="H15" s="43"/>
      <c r="I15" s="46">
        <v>2.66</v>
      </c>
      <c r="J15" s="46">
        <v>0</v>
      </c>
      <c r="K15" s="46">
        <v>2.66</v>
      </c>
      <c r="L15" s="43" t="s">
        <v>5314</v>
      </c>
      <c r="M15" s="46">
        <v>0</v>
      </c>
      <c r="N15" s="43"/>
      <c r="O15" s="43" t="s">
        <v>5315</v>
      </c>
      <c r="P15" s="43" t="s">
        <v>5316</v>
      </c>
      <c r="Q15" s="47">
        <v>1</v>
      </c>
      <c r="R15" s="43" t="s">
        <v>5317</v>
      </c>
      <c r="S15" s="43" t="s">
        <v>5351</v>
      </c>
      <c r="T15" s="43" t="s">
        <v>5319</v>
      </c>
      <c r="U15" s="43" t="s">
        <v>5320</v>
      </c>
      <c r="V15" s="43" t="s">
        <v>5321</v>
      </c>
      <c r="W15" s="43" t="s">
        <v>5322</v>
      </c>
      <c r="X15" s="43" t="s">
        <v>5323</v>
      </c>
      <c r="Y15" s="43" t="s">
        <v>5324</v>
      </c>
      <c r="Z15" s="43" t="s">
        <v>5407</v>
      </c>
      <c r="AA15" s="43" t="s">
        <v>5408</v>
      </c>
      <c r="AB15" s="43"/>
      <c r="AC15" s="43" t="s">
        <v>5409</v>
      </c>
      <c r="AD15" s="43" t="s">
        <v>5410</v>
      </c>
      <c r="AE15" s="43" t="s">
        <v>5324</v>
      </c>
    </row>
    <row r="16" ht="16.8" spans="1:31">
      <c r="A16" s="43" t="s">
        <v>5309</v>
      </c>
      <c r="B16" s="44">
        <v>46230</v>
      </c>
      <c r="C16" s="43" t="s">
        <v>5310</v>
      </c>
      <c r="D16" s="45">
        <v>46230.6448321412</v>
      </c>
      <c r="E16" s="43" t="s">
        <v>5411</v>
      </c>
      <c r="F16" s="43" t="s">
        <v>5312</v>
      </c>
      <c r="G16" s="43" t="s">
        <v>5412</v>
      </c>
      <c r="H16" s="43"/>
      <c r="I16" s="46">
        <v>2.66</v>
      </c>
      <c r="J16" s="46">
        <v>0</v>
      </c>
      <c r="K16" s="46">
        <v>2.66</v>
      </c>
      <c r="L16" s="43" t="s">
        <v>5314</v>
      </c>
      <c r="M16" s="46">
        <v>0</v>
      </c>
      <c r="N16" s="43"/>
      <c r="O16" s="43" t="s">
        <v>5315</v>
      </c>
      <c r="P16" s="43" t="s">
        <v>5316</v>
      </c>
      <c r="Q16" s="47">
        <v>1</v>
      </c>
      <c r="R16" s="43" t="s">
        <v>5317</v>
      </c>
      <c r="S16" s="43" t="s">
        <v>5351</v>
      </c>
      <c r="T16" s="43" t="s">
        <v>5319</v>
      </c>
      <c r="U16" s="43" t="s">
        <v>5320</v>
      </c>
      <c r="V16" s="43" t="s">
        <v>5321</v>
      </c>
      <c r="W16" s="43" t="s">
        <v>5322</v>
      </c>
      <c r="X16" s="43" t="s">
        <v>5323</v>
      </c>
      <c r="Y16" s="43" t="s">
        <v>5324</v>
      </c>
      <c r="Z16" s="43" t="s">
        <v>5413</v>
      </c>
      <c r="AA16" s="43" t="s">
        <v>5414</v>
      </c>
      <c r="AB16" s="43"/>
      <c r="AC16" s="43" t="s">
        <v>5415</v>
      </c>
      <c r="AD16" s="43" t="s">
        <v>5386</v>
      </c>
      <c r="AE16" s="43" t="s">
        <v>5324</v>
      </c>
    </row>
    <row r="17" ht="16.8" spans="1:31">
      <c r="A17" s="43" t="s">
        <v>5309</v>
      </c>
      <c r="B17" s="44">
        <v>46230</v>
      </c>
      <c r="C17" s="43" t="s">
        <v>5310</v>
      </c>
      <c r="D17" s="45">
        <v>46230.6469853588</v>
      </c>
      <c r="E17" s="43" t="s">
        <v>5416</v>
      </c>
      <c r="F17" s="43" t="s">
        <v>5312</v>
      </c>
      <c r="G17" s="43" t="s">
        <v>5417</v>
      </c>
      <c r="H17" s="43"/>
      <c r="I17" s="46">
        <v>3.64</v>
      </c>
      <c r="J17" s="46">
        <v>0</v>
      </c>
      <c r="K17" s="46">
        <v>3.64</v>
      </c>
      <c r="L17" s="43" t="s">
        <v>5314</v>
      </c>
      <c r="M17" s="46">
        <v>0</v>
      </c>
      <c r="N17" s="43"/>
      <c r="O17" s="43" t="s">
        <v>5315</v>
      </c>
      <c r="P17" s="43" t="s">
        <v>5316</v>
      </c>
      <c r="Q17" s="47">
        <v>1</v>
      </c>
      <c r="R17" s="43" t="s">
        <v>5317</v>
      </c>
      <c r="S17" s="43" t="s">
        <v>5382</v>
      </c>
      <c r="T17" s="43" t="s">
        <v>5319</v>
      </c>
      <c r="U17" s="43" t="s">
        <v>5320</v>
      </c>
      <c r="V17" s="43" t="s">
        <v>5321</v>
      </c>
      <c r="W17" s="43" t="s">
        <v>5322</v>
      </c>
      <c r="X17" s="43" t="s">
        <v>5323</v>
      </c>
      <c r="Y17" s="43" t="s">
        <v>5324</v>
      </c>
      <c r="Z17" s="43" t="s">
        <v>5418</v>
      </c>
      <c r="AA17" s="43" t="s">
        <v>5419</v>
      </c>
      <c r="AB17" s="43"/>
      <c r="AC17" s="43" t="s">
        <v>5420</v>
      </c>
      <c r="AD17" s="43" t="s">
        <v>5421</v>
      </c>
      <c r="AE17" s="43" t="s">
        <v>5324</v>
      </c>
    </row>
    <row r="18" ht="16.8" spans="1:31">
      <c r="A18" s="43" t="s">
        <v>5309</v>
      </c>
      <c r="B18" s="44">
        <v>46230</v>
      </c>
      <c r="C18" s="43" t="s">
        <v>5310</v>
      </c>
      <c r="D18" s="45">
        <v>46230.6488941551</v>
      </c>
      <c r="E18" s="43" t="s">
        <v>5422</v>
      </c>
      <c r="F18" s="43" t="s">
        <v>5312</v>
      </c>
      <c r="G18" s="43" t="s">
        <v>5423</v>
      </c>
      <c r="H18" s="43"/>
      <c r="I18" s="46">
        <v>2.66</v>
      </c>
      <c r="J18" s="46">
        <v>0</v>
      </c>
      <c r="K18" s="46">
        <v>2.66</v>
      </c>
      <c r="L18" s="43" t="s">
        <v>5314</v>
      </c>
      <c r="M18" s="46">
        <v>0</v>
      </c>
      <c r="N18" s="43"/>
      <c r="O18" s="43" t="s">
        <v>5315</v>
      </c>
      <c r="P18" s="43" t="s">
        <v>5316</v>
      </c>
      <c r="Q18" s="47">
        <v>1</v>
      </c>
      <c r="R18" s="43" t="s">
        <v>5317</v>
      </c>
      <c r="S18" s="43" t="s">
        <v>5382</v>
      </c>
      <c r="T18" s="43" t="s">
        <v>5319</v>
      </c>
      <c r="U18" s="43" t="s">
        <v>5320</v>
      </c>
      <c r="V18" s="43" t="s">
        <v>5321</v>
      </c>
      <c r="W18" s="43" t="s">
        <v>5322</v>
      </c>
      <c r="X18" s="43" t="s">
        <v>5323</v>
      </c>
      <c r="Y18" s="43" t="s">
        <v>5324</v>
      </c>
      <c r="Z18" s="43" t="s">
        <v>5424</v>
      </c>
      <c r="AA18" s="43" t="s">
        <v>5425</v>
      </c>
      <c r="AB18" s="43"/>
      <c r="AC18" s="43" t="s">
        <v>5426</v>
      </c>
      <c r="AD18" s="43" t="s">
        <v>5427</v>
      </c>
      <c r="AE18" s="43" t="s">
        <v>5324</v>
      </c>
    </row>
    <row r="19" ht="16.8" spans="1:31">
      <c r="A19" s="43" t="s">
        <v>5309</v>
      </c>
      <c r="B19" s="44">
        <v>46230</v>
      </c>
      <c r="C19" s="43" t="s">
        <v>5310</v>
      </c>
      <c r="D19" s="45">
        <v>46230.6500087616</v>
      </c>
      <c r="E19" s="43" t="s">
        <v>5428</v>
      </c>
      <c r="F19" s="43" t="s">
        <v>5312</v>
      </c>
      <c r="G19" s="43" t="s">
        <v>5429</v>
      </c>
      <c r="H19" s="43"/>
      <c r="I19" s="46">
        <v>3.64</v>
      </c>
      <c r="J19" s="46">
        <v>0</v>
      </c>
      <c r="K19" s="46">
        <v>3.64</v>
      </c>
      <c r="L19" s="43" t="s">
        <v>5314</v>
      </c>
      <c r="M19" s="46">
        <v>0</v>
      </c>
      <c r="N19" s="43"/>
      <c r="O19" s="43" t="s">
        <v>5315</v>
      </c>
      <c r="P19" s="43" t="s">
        <v>5316</v>
      </c>
      <c r="Q19" s="47">
        <v>1</v>
      </c>
      <c r="R19" s="43" t="s">
        <v>5317</v>
      </c>
      <c r="S19" s="43" t="s">
        <v>5351</v>
      </c>
      <c r="T19" s="43" t="s">
        <v>5319</v>
      </c>
      <c r="U19" s="43" t="s">
        <v>5320</v>
      </c>
      <c r="V19" s="43" t="s">
        <v>5321</v>
      </c>
      <c r="W19" s="43" t="s">
        <v>5322</v>
      </c>
      <c r="X19" s="43" t="s">
        <v>5323</v>
      </c>
      <c r="Y19" s="43" t="s">
        <v>5324</v>
      </c>
      <c r="Z19" s="43" t="s">
        <v>5430</v>
      </c>
      <c r="AA19" s="43" t="s">
        <v>5431</v>
      </c>
      <c r="AB19" s="43"/>
      <c r="AC19" s="43" t="s">
        <v>5432</v>
      </c>
      <c r="AD19" s="43" t="s">
        <v>5433</v>
      </c>
      <c r="AE19" s="43" t="s">
        <v>5324</v>
      </c>
    </row>
    <row r="20" ht="16.8" spans="1:31">
      <c r="A20" s="43" t="s">
        <v>5309</v>
      </c>
      <c r="B20" s="44">
        <v>46230</v>
      </c>
      <c r="C20" s="43" t="s">
        <v>5310</v>
      </c>
      <c r="D20" s="45">
        <v>46230.6513101042</v>
      </c>
      <c r="E20" s="43" t="s">
        <v>5434</v>
      </c>
      <c r="F20" s="43" t="s">
        <v>5312</v>
      </c>
      <c r="G20" s="43" t="s">
        <v>5435</v>
      </c>
      <c r="H20" s="43"/>
      <c r="I20" s="46">
        <v>2.66</v>
      </c>
      <c r="J20" s="46">
        <v>0</v>
      </c>
      <c r="K20" s="46">
        <v>2.66</v>
      </c>
      <c r="L20" s="43" t="s">
        <v>5314</v>
      </c>
      <c r="M20" s="46">
        <v>0</v>
      </c>
      <c r="N20" s="43"/>
      <c r="O20" s="43" t="s">
        <v>5315</v>
      </c>
      <c r="P20" s="43" t="s">
        <v>5316</v>
      </c>
      <c r="Q20" s="47">
        <v>1</v>
      </c>
      <c r="R20" s="43" t="s">
        <v>5317</v>
      </c>
      <c r="S20" s="43" t="s">
        <v>5351</v>
      </c>
      <c r="T20" s="43" t="s">
        <v>5319</v>
      </c>
      <c r="U20" s="43" t="s">
        <v>5320</v>
      </c>
      <c r="V20" s="43" t="s">
        <v>5321</v>
      </c>
      <c r="W20" s="43" t="s">
        <v>5322</v>
      </c>
      <c r="X20" s="43" t="s">
        <v>5323</v>
      </c>
      <c r="Y20" s="43" t="s">
        <v>5324</v>
      </c>
      <c r="Z20" s="43" t="s">
        <v>5436</v>
      </c>
      <c r="AA20" s="43" t="s">
        <v>5437</v>
      </c>
      <c r="AB20" s="43"/>
      <c r="AC20" s="43" t="s">
        <v>5438</v>
      </c>
      <c r="AD20" s="43" t="s">
        <v>5439</v>
      </c>
      <c r="AE20" s="43" t="s">
        <v>5324</v>
      </c>
    </row>
    <row r="21" ht="16.8" spans="1:31">
      <c r="A21" s="43" t="s">
        <v>5309</v>
      </c>
      <c r="B21" s="44">
        <v>46230</v>
      </c>
      <c r="C21" s="43" t="s">
        <v>5310</v>
      </c>
      <c r="D21" s="45">
        <v>46230.6524768171</v>
      </c>
      <c r="E21" s="43" t="s">
        <v>5440</v>
      </c>
      <c r="F21" s="43" t="s">
        <v>5312</v>
      </c>
      <c r="G21" s="43" t="s">
        <v>5441</v>
      </c>
      <c r="H21" s="43"/>
      <c r="I21" s="46">
        <v>3.64</v>
      </c>
      <c r="J21" s="46">
        <v>0</v>
      </c>
      <c r="K21" s="46">
        <v>3.64</v>
      </c>
      <c r="L21" s="43" t="s">
        <v>5314</v>
      </c>
      <c r="M21" s="46">
        <v>0</v>
      </c>
      <c r="N21" s="43"/>
      <c r="O21" s="43" t="s">
        <v>5315</v>
      </c>
      <c r="P21" s="43" t="s">
        <v>5316</v>
      </c>
      <c r="Q21" s="47">
        <v>1</v>
      </c>
      <c r="R21" s="43" t="s">
        <v>5317</v>
      </c>
      <c r="S21" s="43" t="s">
        <v>5351</v>
      </c>
      <c r="T21" s="43" t="s">
        <v>5319</v>
      </c>
      <c r="U21" s="43" t="s">
        <v>5320</v>
      </c>
      <c r="V21" s="43" t="s">
        <v>5321</v>
      </c>
      <c r="W21" s="43" t="s">
        <v>5322</v>
      </c>
      <c r="X21" s="43" t="s">
        <v>5323</v>
      </c>
      <c r="Y21" s="43" t="s">
        <v>5324</v>
      </c>
      <c r="Z21" s="43" t="s">
        <v>5442</v>
      </c>
      <c r="AA21" s="43" t="s">
        <v>5443</v>
      </c>
      <c r="AB21" s="43"/>
      <c r="AC21" s="43" t="s">
        <v>5444</v>
      </c>
      <c r="AD21" s="43" t="s">
        <v>5445</v>
      </c>
      <c r="AE21" s="43" t="s">
        <v>5324</v>
      </c>
    </row>
    <row r="22" ht="16.8" spans="1:31">
      <c r="A22" s="43" t="s">
        <v>5309</v>
      </c>
      <c r="B22" s="44">
        <v>46230</v>
      </c>
      <c r="C22" s="43" t="s">
        <v>5310</v>
      </c>
      <c r="D22" s="45">
        <v>46230.653657037</v>
      </c>
      <c r="E22" s="43" t="s">
        <v>5446</v>
      </c>
      <c r="F22" s="43" t="s">
        <v>5312</v>
      </c>
      <c r="G22" s="43" t="s">
        <v>5447</v>
      </c>
      <c r="H22" s="43"/>
      <c r="I22" s="46">
        <v>2.66</v>
      </c>
      <c r="J22" s="46">
        <v>0</v>
      </c>
      <c r="K22" s="46">
        <v>2.66</v>
      </c>
      <c r="L22" s="43" t="s">
        <v>5314</v>
      </c>
      <c r="M22" s="46">
        <v>0</v>
      </c>
      <c r="N22" s="43"/>
      <c r="O22" s="43" t="s">
        <v>5315</v>
      </c>
      <c r="P22" s="43" t="s">
        <v>5316</v>
      </c>
      <c r="Q22" s="47">
        <v>1</v>
      </c>
      <c r="R22" s="43" t="s">
        <v>5317</v>
      </c>
      <c r="S22" s="43" t="s">
        <v>5351</v>
      </c>
      <c r="T22" s="43" t="s">
        <v>5319</v>
      </c>
      <c r="U22" s="43" t="s">
        <v>5320</v>
      </c>
      <c r="V22" s="43" t="s">
        <v>5321</v>
      </c>
      <c r="W22" s="43" t="s">
        <v>5322</v>
      </c>
      <c r="X22" s="43" t="s">
        <v>5323</v>
      </c>
      <c r="Y22" s="43" t="s">
        <v>5324</v>
      </c>
      <c r="Z22" s="43" t="s">
        <v>5448</v>
      </c>
      <c r="AA22" s="43" t="s">
        <v>5449</v>
      </c>
      <c r="AB22" s="43"/>
      <c r="AC22" s="43" t="s">
        <v>5450</v>
      </c>
      <c r="AD22" s="43" t="s">
        <v>5451</v>
      </c>
      <c r="AE22" s="43" t="s">
        <v>5324</v>
      </c>
    </row>
    <row r="23" ht="16.8" spans="1:31">
      <c r="A23" s="43" t="s">
        <v>5309</v>
      </c>
      <c r="B23" s="44">
        <v>46230</v>
      </c>
      <c r="C23" s="43" t="s">
        <v>5310</v>
      </c>
      <c r="D23" s="45">
        <v>46230.6547434491</v>
      </c>
      <c r="E23" s="43" t="s">
        <v>5452</v>
      </c>
      <c r="F23" s="43" t="s">
        <v>5312</v>
      </c>
      <c r="G23" s="43" t="s">
        <v>5453</v>
      </c>
      <c r="H23" s="43"/>
      <c r="I23" s="46">
        <v>2.66</v>
      </c>
      <c r="J23" s="46">
        <v>0</v>
      </c>
      <c r="K23" s="46">
        <v>2.66</v>
      </c>
      <c r="L23" s="43" t="s">
        <v>5314</v>
      </c>
      <c r="M23" s="46">
        <v>0</v>
      </c>
      <c r="N23" s="43"/>
      <c r="O23" s="43" t="s">
        <v>5315</v>
      </c>
      <c r="P23" s="43" t="s">
        <v>5316</v>
      </c>
      <c r="Q23" s="47">
        <v>1</v>
      </c>
      <c r="R23" s="43" t="s">
        <v>5317</v>
      </c>
      <c r="S23" s="43" t="s">
        <v>5351</v>
      </c>
      <c r="T23" s="43" t="s">
        <v>5319</v>
      </c>
      <c r="U23" s="43" t="s">
        <v>5320</v>
      </c>
      <c r="V23" s="43" t="s">
        <v>5321</v>
      </c>
      <c r="W23" s="43" t="s">
        <v>5322</v>
      </c>
      <c r="X23" s="43" t="s">
        <v>5323</v>
      </c>
      <c r="Y23" s="43" t="s">
        <v>5324</v>
      </c>
      <c r="Z23" s="43" t="s">
        <v>5454</v>
      </c>
      <c r="AA23" s="43" t="s">
        <v>5455</v>
      </c>
      <c r="AB23" s="43"/>
      <c r="AC23" s="43" t="s">
        <v>5456</v>
      </c>
      <c r="AD23" s="43" t="s">
        <v>5457</v>
      </c>
      <c r="AE23" s="43" t="s">
        <v>5324</v>
      </c>
    </row>
    <row r="24" ht="16.8" spans="1:31">
      <c r="A24" s="43" t="s">
        <v>5309</v>
      </c>
      <c r="B24" s="44">
        <v>46230</v>
      </c>
      <c r="C24" s="43" t="s">
        <v>5310</v>
      </c>
      <c r="D24" s="45">
        <v>46230.6559396296</v>
      </c>
      <c r="E24" s="43" t="s">
        <v>5458</v>
      </c>
      <c r="F24" s="43" t="s">
        <v>5312</v>
      </c>
      <c r="G24" s="43" t="s">
        <v>5459</v>
      </c>
      <c r="H24" s="43"/>
      <c r="I24" s="46">
        <v>2.66</v>
      </c>
      <c r="J24" s="46">
        <v>0</v>
      </c>
      <c r="K24" s="46">
        <v>2.66</v>
      </c>
      <c r="L24" s="43" t="s">
        <v>5314</v>
      </c>
      <c r="M24" s="46">
        <v>0</v>
      </c>
      <c r="N24" s="43"/>
      <c r="O24" s="43" t="s">
        <v>5315</v>
      </c>
      <c r="P24" s="43" t="s">
        <v>5316</v>
      </c>
      <c r="Q24" s="47">
        <v>1</v>
      </c>
      <c r="R24" s="43" t="s">
        <v>5317</v>
      </c>
      <c r="S24" s="43" t="s">
        <v>5382</v>
      </c>
      <c r="T24" s="43" t="s">
        <v>5319</v>
      </c>
      <c r="U24" s="43" t="s">
        <v>5320</v>
      </c>
      <c r="V24" s="43" t="s">
        <v>5321</v>
      </c>
      <c r="W24" s="43" t="s">
        <v>5322</v>
      </c>
      <c r="X24" s="43" t="s">
        <v>5323</v>
      </c>
      <c r="Y24" s="43" t="s">
        <v>5324</v>
      </c>
      <c r="Z24" s="43" t="s">
        <v>5460</v>
      </c>
      <c r="AA24" s="43" t="s">
        <v>5461</v>
      </c>
      <c r="AB24" s="43"/>
      <c r="AC24" s="43" t="s">
        <v>5462</v>
      </c>
      <c r="AD24" s="43" t="s">
        <v>5463</v>
      </c>
      <c r="AE24" s="43" t="s">
        <v>5324</v>
      </c>
    </row>
    <row r="25" ht="16.8" spans="1:31">
      <c r="A25" s="43" t="s">
        <v>5309</v>
      </c>
      <c r="B25" s="44">
        <v>46230</v>
      </c>
      <c r="C25" s="43" t="s">
        <v>5310</v>
      </c>
      <c r="D25" s="45">
        <v>46230.6568874884</v>
      </c>
      <c r="E25" s="43" t="s">
        <v>5464</v>
      </c>
      <c r="F25" s="43" t="s">
        <v>5312</v>
      </c>
      <c r="G25" s="43" t="s">
        <v>5465</v>
      </c>
      <c r="H25" s="43"/>
      <c r="I25" s="46">
        <v>2.66</v>
      </c>
      <c r="J25" s="46">
        <v>0</v>
      </c>
      <c r="K25" s="46">
        <v>2.66</v>
      </c>
      <c r="L25" s="43" t="s">
        <v>5314</v>
      </c>
      <c r="M25" s="46">
        <v>0</v>
      </c>
      <c r="N25" s="43"/>
      <c r="O25" s="43" t="s">
        <v>5315</v>
      </c>
      <c r="P25" s="43" t="s">
        <v>5316</v>
      </c>
      <c r="Q25" s="47">
        <v>1</v>
      </c>
      <c r="R25" s="43" t="s">
        <v>5317</v>
      </c>
      <c r="S25" s="43" t="s">
        <v>5351</v>
      </c>
      <c r="T25" s="43" t="s">
        <v>5319</v>
      </c>
      <c r="U25" s="43" t="s">
        <v>5320</v>
      </c>
      <c r="V25" s="43" t="s">
        <v>5321</v>
      </c>
      <c r="W25" s="43" t="s">
        <v>5322</v>
      </c>
      <c r="X25" s="43" t="s">
        <v>5323</v>
      </c>
      <c r="Y25" s="43" t="s">
        <v>5324</v>
      </c>
      <c r="Z25" s="43" t="s">
        <v>5466</v>
      </c>
      <c r="AA25" s="43" t="s">
        <v>5467</v>
      </c>
      <c r="AB25" s="43"/>
      <c r="AC25" s="43" t="s">
        <v>5468</v>
      </c>
      <c r="AD25" s="43" t="s">
        <v>5469</v>
      </c>
      <c r="AE25" s="43" t="s">
        <v>5324</v>
      </c>
    </row>
    <row r="26" ht="16.8" spans="1:31">
      <c r="A26" s="43" t="s">
        <v>5309</v>
      </c>
      <c r="B26" s="44">
        <v>46230</v>
      </c>
      <c r="C26" s="43" t="s">
        <v>5310</v>
      </c>
      <c r="D26" s="45">
        <v>46230.6581463657</v>
      </c>
      <c r="E26" s="43" t="s">
        <v>5470</v>
      </c>
      <c r="F26" s="43" t="s">
        <v>5312</v>
      </c>
      <c r="G26" s="43" t="s">
        <v>5471</v>
      </c>
      <c r="H26" s="43"/>
      <c r="I26" s="46">
        <v>2.66</v>
      </c>
      <c r="J26" s="46">
        <v>0</v>
      </c>
      <c r="K26" s="46">
        <v>2.66</v>
      </c>
      <c r="L26" s="43" t="s">
        <v>5314</v>
      </c>
      <c r="M26" s="46">
        <v>0</v>
      </c>
      <c r="N26" s="43"/>
      <c r="O26" s="43" t="s">
        <v>5315</v>
      </c>
      <c r="P26" s="43" t="s">
        <v>5316</v>
      </c>
      <c r="Q26" s="47">
        <v>1</v>
      </c>
      <c r="R26" s="43" t="s">
        <v>5317</v>
      </c>
      <c r="S26" s="43" t="s">
        <v>5351</v>
      </c>
      <c r="T26" s="43" t="s">
        <v>5319</v>
      </c>
      <c r="U26" s="43" t="s">
        <v>5320</v>
      </c>
      <c r="V26" s="43" t="s">
        <v>5321</v>
      </c>
      <c r="W26" s="43" t="s">
        <v>5322</v>
      </c>
      <c r="X26" s="43" t="s">
        <v>5323</v>
      </c>
      <c r="Y26" s="43" t="s">
        <v>5324</v>
      </c>
      <c r="Z26" s="43" t="s">
        <v>5472</v>
      </c>
      <c r="AA26" s="43" t="s">
        <v>5473</v>
      </c>
      <c r="AB26" s="43"/>
      <c r="AC26" s="43" t="s">
        <v>5474</v>
      </c>
      <c r="AD26" s="43" t="s">
        <v>5475</v>
      </c>
      <c r="AE26" s="43" t="s">
        <v>5324</v>
      </c>
    </row>
    <row r="27" ht="16.8" spans="1:31">
      <c r="A27" s="43" t="s">
        <v>5309</v>
      </c>
      <c r="B27" s="44">
        <v>46230</v>
      </c>
      <c r="C27" s="43" t="s">
        <v>5310</v>
      </c>
      <c r="D27" s="45">
        <v>46230.6599719907</v>
      </c>
      <c r="E27" s="43" t="s">
        <v>5476</v>
      </c>
      <c r="F27" s="43" t="s">
        <v>5312</v>
      </c>
      <c r="G27" s="43" t="s">
        <v>5477</v>
      </c>
      <c r="H27" s="43"/>
      <c r="I27" s="46">
        <v>3.64</v>
      </c>
      <c r="J27" s="46">
        <v>0</v>
      </c>
      <c r="K27" s="46">
        <v>3.64</v>
      </c>
      <c r="L27" s="43" t="s">
        <v>5314</v>
      </c>
      <c r="M27" s="46">
        <v>0</v>
      </c>
      <c r="N27" s="43"/>
      <c r="O27" s="43" t="s">
        <v>5315</v>
      </c>
      <c r="P27" s="43" t="s">
        <v>5316</v>
      </c>
      <c r="Q27" s="47">
        <v>1</v>
      </c>
      <c r="R27" s="43" t="s">
        <v>5317</v>
      </c>
      <c r="S27" s="43" t="s">
        <v>5382</v>
      </c>
      <c r="T27" s="43" t="s">
        <v>5319</v>
      </c>
      <c r="U27" s="43" t="s">
        <v>5320</v>
      </c>
      <c r="V27" s="43" t="s">
        <v>5321</v>
      </c>
      <c r="W27" s="43" t="s">
        <v>5322</v>
      </c>
      <c r="X27" s="43" t="s">
        <v>5323</v>
      </c>
      <c r="Y27" s="43" t="s">
        <v>5324</v>
      </c>
      <c r="Z27" s="43" t="s">
        <v>5478</v>
      </c>
      <c r="AA27" s="43" t="s">
        <v>5479</v>
      </c>
      <c r="AB27" s="43"/>
      <c r="AC27" s="43" t="s">
        <v>5480</v>
      </c>
      <c r="AD27" s="43" t="s">
        <v>5481</v>
      </c>
      <c r="AE27" s="43" t="s">
        <v>5324</v>
      </c>
    </row>
    <row r="28" ht="16.8" spans="1:31">
      <c r="A28" s="43" t="s">
        <v>5309</v>
      </c>
      <c r="B28" s="44">
        <v>46230</v>
      </c>
      <c r="C28" s="43" t="s">
        <v>5310</v>
      </c>
      <c r="D28" s="45">
        <v>46230.6613129977</v>
      </c>
      <c r="E28" s="43" t="s">
        <v>5482</v>
      </c>
      <c r="F28" s="43" t="s">
        <v>5312</v>
      </c>
      <c r="G28" s="43" t="s">
        <v>5483</v>
      </c>
      <c r="H28" s="43"/>
      <c r="I28" s="46">
        <v>2.66</v>
      </c>
      <c r="J28" s="46">
        <v>0</v>
      </c>
      <c r="K28" s="46">
        <v>2.66</v>
      </c>
      <c r="L28" s="43" t="s">
        <v>5314</v>
      </c>
      <c r="M28" s="46">
        <v>0</v>
      </c>
      <c r="N28" s="43"/>
      <c r="O28" s="43" t="s">
        <v>5315</v>
      </c>
      <c r="P28" s="43" t="s">
        <v>5316</v>
      </c>
      <c r="Q28" s="47">
        <v>1</v>
      </c>
      <c r="R28" s="43" t="s">
        <v>5317</v>
      </c>
      <c r="S28" s="43" t="s">
        <v>5382</v>
      </c>
      <c r="T28" s="43" t="s">
        <v>5319</v>
      </c>
      <c r="U28" s="43" t="s">
        <v>5320</v>
      </c>
      <c r="V28" s="43" t="s">
        <v>5321</v>
      </c>
      <c r="W28" s="43" t="s">
        <v>5322</v>
      </c>
      <c r="X28" s="43" t="s">
        <v>5323</v>
      </c>
      <c r="Y28" s="43" t="s">
        <v>5324</v>
      </c>
      <c r="Z28" s="43" t="s">
        <v>5484</v>
      </c>
      <c r="AA28" s="43" t="s">
        <v>5431</v>
      </c>
      <c r="AB28" s="43"/>
      <c r="AC28" s="43" t="s">
        <v>5485</v>
      </c>
      <c r="AD28" s="43" t="s">
        <v>5486</v>
      </c>
      <c r="AE28" s="43" t="s">
        <v>5324</v>
      </c>
    </row>
    <row r="29" ht="16.8" spans="1:31">
      <c r="A29" s="43" t="s">
        <v>5309</v>
      </c>
      <c r="B29" s="44">
        <v>46230</v>
      </c>
      <c r="C29" s="43" t="s">
        <v>5310</v>
      </c>
      <c r="D29" s="45">
        <v>46230.6623616667</v>
      </c>
      <c r="E29" s="43" t="s">
        <v>5487</v>
      </c>
      <c r="F29" s="43" t="s">
        <v>5312</v>
      </c>
      <c r="G29" s="43" t="s">
        <v>5488</v>
      </c>
      <c r="H29" s="43"/>
      <c r="I29" s="46">
        <v>2.66</v>
      </c>
      <c r="J29" s="46">
        <v>0</v>
      </c>
      <c r="K29" s="46">
        <v>2.66</v>
      </c>
      <c r="L29" s="43" t="s">
        <v>5314</v>
      </c>
      <c r="M29" s="46">
        <v>0</v>
      </c>
      <c r="N29" s="43"/>
      <c r="O29" s="43" t="s">
        <v>5315</v>
      </c>
      <c r="P29" s="43" t="s">
        <v>5316</v>
      </c>
      <c r="Q29" s="47">
        <v>1</v>
      </c>
      <c r="R29" s="43" t="s">
        <v>5317</v>
      </c>
      <c r="S29" s="43" t="s">
        <v>5489</v>
      </c>
      <c r="T29" s="43" t="s">
        <v>5319</v>
      </c>
      <c r="U29" s="43" t="s">
        <v>5320</v>
      </c>
      <c r="V29" s="43" t="s">
        <v>5321</v>
      </c>
      <c r="W29" s="43" t="s">
        <v>5322</v>
      </c>
      <c r="X29" s="43" t="s">
        <v>5323</v>
      </c>
      <c r="Y29" s="43" t="s">
        <v>5324</v>
      </c>
      <c r="Z29" s="43" t="s">
        <v>5490</v>
      </c>
      <c r="AA29" s="43" t="s">
        <v>5491</v>
      </c>
      <c r="AB29" s="43"/>
      <c r="AC29" s="43" t="s">
        <v>5492</v>
      </c>
      <c r="AD29" s="43" t="s">
        <v>5493</v>
      </c>
      <c r="AE29" s="43" t="s">
        <v>5324</v>
      </c>
    </row>
    <row r="30" ht="16.8" spans="1:31">
      <c r="A30" s="43" t="s">
        <v>5309</v>
      </c>
      <c r="B30" s="44">
        <v>46230</v>
      </c>
      <c r="C30" s="43" t="s">
        <v>5310</v>
      </c>
      <c r="D30" s="45">
        <v>46230.6641861111</v>
      </c>
      <c r="E30" s="43" t="s">
        <v>5494</v>
      </c>
      <c r="F30" s="43" t="s">
        <v>5312</v>
      </c>
      <c r="G30" s="43" t="s">
        <v>5495</v>
      </c>
      <c r="H30" s="43"/>
      <c r="I30" s="46">
        <v>2.66</v>
      </c>
      <c r="J30" s="46">
        <v>0</v>
      </c>
      <c r="K30" s="46">
        <v>2.66</v>
      </c>
      <c r="L30" s="43" t="s">
        <v>5314</v>
      </c>
      <c r="M30" s="46">
        <v>0</v>
      </c>
      <c r="N30" s="43"/>
      <c r="O30" s="43" t="s">
        <v>5315</v>
      </c>
      <c r="P30" s="43" t="s">
        <v>5316</v>
      </c>
      <c r="Q30" s="47">
        <v>1</v>
      </c>
      <c r="R30" s="43" t="s">
        <v>5317</v>
      </c>
      <c r="S30" s="43" t="s">
        <v>5351</v>
      </c>
      <c r="T30" s="43" t="s">
        <v>5319</v>
      </c>
      <c r="U30" s="43" t="s">
        <v>5320</v>
      </c>
      <c r="V30" s="43" t="s">
        <v>5321</v>
      </c>
      <c r="W30" s="43" t="s">
        <v>5322</v>
      </c>
      <c r="X30" s="43" t="s">
        <v>5323</v>
      </c>
      <c r="Y30" s="43" t="s">
        <v>5324</v>
      </c>
      <c r="Z30" s="43" t="s">
        <v>5496</v>
      </c>
      <c r="AA30" s="43" t="s">
        <v>5497</v>
      </c>
      <c r="AB30" s="43"/>
      <c r="AC30" s="43" t="s">
        <v>5498</v>
      </c>
      <c r="AD30" s="43" t="s">
        <v>5499</v>
      </c>
      <c r="AE30" s="43" t="s">
        <v>5324</v>
      </c>
    </row>
    <row r="31" ht="16.8" spans="1:31">
      <c r="A31" s="43" t="s">
        <v>5309</v>
      </c>
      <c r="B31" s="44">
        <v>46230</v>
      </c>
      <c r="C31" s="43" t="s">
        <v>5310</v>
      </c>
      <c r="D31" s="45">
        <v>46230.6653716435</v>
      </c>
      <c r="E31" s="43" t="s">
        <v>5500</v>
      </c>
      <c r="F31" s="43" t="s">
        <v>5312</v>
      </c>
      <c r="G31" s="43" t="s">
        <v>5501</v>
      </c>
      <c r="H31" s="43"/>
      <c r="I31" s="46">
        <v>1.8</v>
      </c>
      <c r="J31" s="46">
        <v>0</v>
      </c>
      <c r="K31" s="46">
        <v>1.8</v>
      </c>
      <c r="L31" s="43" t="s">
        <v>5314</v>
      </c>
      <c r="M31" s="46">
        <v>0</v>
      </c>
      <c r="N31" s="43"/>
      <c r="O31" s="43" t="s">
        <v>5315</v>
      </c>
      <c r="P31" s="43" t="s">
        <v>5316</v>
      </c>
      <c r="Q31" s="47">
        <v>1</v>
      </c>
      <c r="R31" s="43" t="s">
        <v>5317</v>
      </c>
      <c r="S31" s="43" t="s">
        <v>5502</v>
      </c>
      <c r="T31" s="43" t="s">
        <v>5319</v>
      </c>
      <c r="U31" s="43" t="s">
        <v>5320</v>
      </c>
      <c r="V31" s="43" t="s">
        <v>5321</v>
      </c>
      <c r="W31" s="43" t="s">
        <v>5322</v>
      </c>
      <c r="X31" s="43" t="s">
        <v>5323</v>
      </c>
      <c r="Y31" s="43" t="s">
        <v>5324</v>
      </c>
      <c r="Z31" s="43" t="s">
        <v>5503</v>
      </c>
      <c r="AA31" s="43" t="s">
        <v>5504</v>
      </c>
      <c r="AB31" s="43"/>
      <c r="AC31" s="43" t="s">
        <v>5505</v>
      </c>
      <c r="AD31" s="43" t="s">
        <v>5506</v>
      </c>
      <c r="AE31" s="43" t="s">
        <v>5324</v>
      </c>
    </row>
    <row r="32" ht="16.8" spans="1:31">
      <c r="A32" s="43" t="s">
        <v>5309</v>
      </c>
      <c r="B32" s="44">
        <v>46230</v>
      </c>
      <c r="C32" s="43" t="s">
        <v>5310</v>
      </c>
      <c r="D32" s="45">
        <v>46230.6669584028</v>
      </c>
      <c r="E32" s="43" t="s">
        <v>5507</v>
      </c>
      <c r="F32" s="43" t="s">
        <v>5312</v>
      </c>
      <c r="G32" s="43" t="s">
        <v>5508</v>
      </c>
      <c r="H32" s="43"/>
      <c r="I32" s="46">
        <v>3.64</v>
      </c>
      <c r="J32" s="46">
        <v>0</v>
      </c>
      <c r="K32" s="46">
        <v>3.64</v>
      </c>
      <c r="L32" s="43" t="s">
        <v>5314</v>
      </c>
      <c r="M32" s="46">
        <v>0</v>
      </c>
      <c r="N32" s="43"/>
      <c r="O32" s="43" t="s">
        <v>5315</v>
      </c>
      <c r="P32" s="43" t="s">
        <v>5316</v>
      </c>
      <c r="Q32" s="47">
        <v>1</v>
      </c>
      <c r="R32" s="43" t="s">
        <v>5317</v>
      </c>
      <c r="S32" s="43" t="s">
        <v>5509</v>
      </c>
      <c r="T32" s="43" t="s">
        <v>5319</v>
      </c>
      <c r="U32" s="43" t="s">
        <v>5320</v>
      </c>
      <c r="V32" s="43" t="s">
        <v>5321</v>
      </c>
      <c r="W32" s="43" t="s">
        <v>5322</v>
      </c>
      <c r="X32" s="43" t="s">
        <v>5323</v>
      </c>
      <c r="Y32" s="43" t="s">
        <v>5324</v>
      </c>
      <c r="Z32" s="43" t="s">
        <v>5510</v>
      </c>
      <c r="AA32" s="43" t="s">
        <v>5511</v>
      </c>
      <c r="AB32" s="43"/>
      <c r="AC32" s="43" t="s">
        <v>5512</v>
      </c>
      <c r="AD32" s="43" t="s">
        <v>5513</v>
      </c>
      <c r="AE32" s="43" t="s">
        <v>5324</v>
      </c>
    </row>
    <row r="33" ht="16.8" spans="1:31">
      <c r="A33" s="43" t="s">
        <v>5309</v>
      </c>
      <c r="B33" s="44">
        <v>46230</v>
      </c>
      <c r="C33" s="43" t="s">
        <v>5310</v>
      </c>
      <c r="D33" s="45">
        <v>46230.6684717245</v>
      </c>
      <c r="E33" s="43" t="s">
        <v>5514</v>
      </c>
      <c r="F33" s="43" t="s">
        <v>5312</v>
      </c>
      <c r="G33" s="43" t="s">
        <v>5515</v>
      </c>
      <c r="H33" s="43"/>
      <c r="I33" s="46">
        <v>2.66</v>
      </c>
      <c r="J33" s="46">
        <v>0</v>
      </c>
      <c r="K33" s="46">
        <v>2.66</v>
      </c>
      <c r="L33" s="43" t="s">
        <v>5314</v>
      </c>
      <c r="M33" s="46">
        <v>0</v>
      </c>
      <c r="N33" s="43"/>
      <c r="O33" s="43" t="s">
        <v>5315</v>
      </c>
      <c r="P33" s="43" t="s">
        <v>5316</v>
      </c>
      <c r="Q33" s="47">
        <v>1</v>
      </c>
      <c r="R33" s="43" t="s">
        <v>5317</v>
      </c>
      <c r="S33" s="43" t="s">
        <v>5516</v>
      </c>
      <c r="T33" s="43" t="s">
        <v>5319</v>
      </c>
      <c r="U33" s="43" t="s">
        <v>5320</v>
      </c>
      <c r="V33" s="43" t="s">
        <v>5321</v>
      </c>
      <c r="W33" s="43" t="s">
        <v>5322</v>
      </c>
      <c r="X33" s="43" t="s">
        <v>5323</v>
      </c>
      <c r="Y33" s="43" t="s">
        <v>5324</v>
      </c>
      <c r="Z33" s="43" t="s">
        <v>5517</v>
      </c>
      <c r="AA33" s="43" t="s">
        <v>5518</v>
      </c>
      <c r="AB33" s="43"/>
      <c r="AC33" s="43" t="s">
        <v>5519</v>
      </c>
      <c r="AD33" s="43" t="s">
        <v>5520</v>
      </c>
      <c r="AE33" s="43" t="s">
        <v>5324</v>
      </c>
    </row>
    <row r="34" ht="16.8" spans="1:31">
      <c r="A34" s="43" t="s">
        <v>5309</v>
      </c>
      <c r="B34" s="44">
        <v>46230</v>
      </c>
      <c r="C34" s="43" t="s">
        <v>5310</v>
      </c>
      <c r="D34" s="45">
        <v>46230.6696921412</v>
      </c>
      <c r="E34" s="43" t="s">
        <v>5521</v>
      </c>
      <c r="F34" s="43" t="s">
        <v>5312</v>
      </c>
      <c r="G34" s="43" t="s">
        <v>5522</v>
      </c>
      <c r="H34" s="43"/>
      <c r="I34" s="46">
        <v>2.66</v>
      </c>
      <c r="J34" s="46">
        <v>0</v>
      </c>
      <c r="K34" s="46">
        <v>2.66</v>
      </c>
      <c r="L34" s="43" t="s">
        <v>5314</v>
      </c>
      <c r="M34" s="46">
        <v>0</v>
      </c>
      <c r="N34" s="43"/>
      <c r="O34" s="43" t="s">
        <v>5315</v>
      </c>
      <c r="P34" s="43" t="s">
        <v>5316</v>
      </c>
      <c r="Q34" s="47">
        <v>1</v>
      </c>
      <c r="R34" s="43" t="s">
        <v>5317</v>
      </c>
      <c r="S34" s="43" t="s">
        <v>5516</v>
      </c>
      <c r="T34" s="43" t="s">
        <v>5319</v>
      </c>
      <c r="U34" s="43" t="s">
        <v>5320</v>
      </c>
      <c r="V34" s="43" t="s">
        <v>5321</v>
      </c>
      <c r="W34" s="43" t="s">
        <v>5322</v>
      </c>
      <c r="X34" s="43" t="s">
        <v>5323</v>
      </c>
      <c r="Y34" s="43" t="s">
        <v>5324</v>
      </c>
      <c r="Z34" s="43" t="s">
        <v>5523</v>
      </c>
      <c r="AA34" s="43" t="s">
        <v>5524</v>
      </c>
      <c r="AB34" s="43"/>
      <c r="AC34" s="43" t="s">
        <v>5525</v>
      </c>
      <c r="AD34" s="43" t="s">
        <v>5526</v>
      </c>
      <c r="AE34" s="43" t="s">
        <v>5324</v>
      </c>
    </row>
    <row r="35" ht="16.8" spans="1:31">
      <c r="A35" s="43" t="s">
        <v>5309</v>
      </c>
      <c r="B35" s="44">
        <v>46230</v>
      </c>
      <c r="C35" s="43" t="s">
        <v>5310</v>
      </c>
      <c r="D35" s="45">
        <v>46230.670830081</v>
      </c>
      <c r="E35" s="43" t="s">
        <v>5527</v>
      </c>
      <c r="F35" s="43" t="s">
        <v>5312</v>
      </c>
      <c r="G35" s="43" t="s">
        <v>5528</v>
      </c>
      <c r="H35" s="43"/>
      <c r="I35" s="46">
        <v>1.8</v>
      </c>
      <c r="J35" s="46">
        <v>0</v>
      </c>
      <c r="K35" s="46">
        <v>1.8</v>
      </c>
      <c r="L35" s="43" t="s">
        <v>5314</v>
      </c>
      <c r="M35" s="46">
        <v>0</v>
      </c>
      <c r="N35" s="43"/>
      <c r="O35" s="43" t="s">
        <v>5315</v>
      </c>
      <c r="P35" s="43" t="s">
        <v>5316</v>
      </c>
      <c r="Q35" s="47">
        <v>1</v>
      </c>
      <c r="R35" s="43" t="s">
        <v>5317</v>
      </c>
      <c r="S35" s="43" t="s">
        <v>5502</v>
      </c>
      <c r="T35" s="43" t="s">
        <v>5319</v>
      </c>
      <c r="U35" s="43" t="s">
        <v>5320</v>
      </c>
      <c r="V35" s="43" t="s">
        <v>5321</v>
      </c>
      <c r="W35" s="43" t="s">
        <v>5322</v>
      </c>
      <c r="X35" s="43" t="s">
        <v>5323</v>
      </c>
      <c r="Y35" s="43" t="s">
        <v>5324</v>
      </c>
      <c r="Z35" s="43" t="s">
        <v>5529</v>
      </c>
      <c r="AA35" s="43" t="s">
        <v>5530</v>
      </c>
      <c r="AB35" s="43"/>
      <c r="AC35" s="43" t="s">
        <v>5531</v>
      </c>
      <c r="AD35" s="43" t="s">
        <v>5532</v>
      </c>
      <c r="AE35" s="43" t="s">
        <v>5324</v>
      </c>
    </row>
    <row r="36" ht="16.8" spans="1:31">
      <c r="A36" s="43" t="s">
        <v>5309</v>
      </c>
      <c r="B36" s="44">
        <v>46230</v>
      </c>
      <c r="C36" s="43" t="s">
        <v>5310</v>
      </c>
      <c r="D36" s="45">
        <v>46230.6717331481</v>
      </c>
      <c r="E36" s="43" t="s">
        <v>5533</v>
      </c>
      <c r="F36" s="43" t="s">
        <v>5312</v>
      </c>
      <c r="G36" s="43" t="s">
        <v>5534</v>
      </c>
      <c r="H36" s="43"/>
      <c r="I36" s="46">
        <v>3.64</v>
      </c>
      <c r="J36" s="46">
        <v>0</v>
      </c>
      <c r="K36" s="46">
        <v>3.64</v>
      </c>
      <c r="L36" s="43" t="s">
        <v>5314</v>
      </c>
      <c r="M36" s="46">
        <v>0</v>
      </c>
      <c r="N36" s="43"/>
      <c r="O36" s="43" t="s">
        <v>5315</v>
      </c>
      <c r="P36" s="43" t="s">
        <v>5316</v>
      </c>
      <c r="Q36" s="47">
        <v>1</v>
      </c>
      <c r="R36" s="43" t="s">
        <v>5317</v>
      </c>
      <c r="S36" s="43" t="s">
        <v>5382</v>
      </c>
      <c r="T36" s="43" t="s">
        <v>5319</v>
      </c>
      <c r="U36" s="43" t="s">
        <v>5320</v>
      </c>
      <c r="V36" s="43" t="s">
        <v>5321</v>
      </c>
      <c r="W36" s="43" t="s">
        <v>5322</v>
      </c>
      <c r="X36" s="43" t="s">
        <v>5323</v>
      </c>
      <c r="Y36" s="43" t="s">
        <v>5324</v>
      </c>
      <c r="Z36" s="43" t="s">
        <v>5535</v>
      </c>
      <c r="AA36" s="43" t="s">
        <v>5536</v>
      </c>
      <c r="AB36" s="43"/>
      <c r="AC36" s="43" t="s">
        <v>5537</v>
      </c>
      <c r="AD36" s="43" t="s">
        <v>5386</v>
      </c>
      <c r="AE36" s="43" t="s">
        <v>5324</v>
      </c>
    </row>
    <row r="37" ht="16.8" spans="1:31">
      <c r="A37" s="43" t="s">
        <v>5309</v>
      </c>
      <c r="B37" s="44">
        <v>46230</v>
      </c>
      <c r="C37" s="43" t="s">
        <v>5310</v>
      </c>
      <c r="D37" s="45">
        <v>46230.6732058449</v>
      </c>
      <c r="E37" s="43" t="s">
        <v>5538</v>
      </c>
      <c r="F37" s="43" t="s">
        <v>5312</v>
      </c>
      <c r="G37" s="43" t="s">
        <v>5539</v>
      </c>
      <c r="H37" s="43"/>
      <c r="I37" s="46">
        <v>3.64</v>
      </c>
      <c r="J37" s="46">
        <v>0</v>
      </c>
      <c r="K37" s="46">
        <v>3.64</v>
      </c>
      <c r="L37" s="43" t="s">
        <v>5314</v>
      </c>
      <c r="M37" s="46">
        <v>0</v>
      </c>
      <c r="N37" s="43"/>
      <c r="O37" s="43" t="s">
        <v>5315</v>
      </c>
      <c r="P37" s="43" t="s">
        <v>5316</v>
      </c>
      <c r="Q37" s="47">
        <v>1</v>
      </c>
      <c r="R37" s="43" t="s">
        <v>5317</v>
      </c>
      <c r="S37" s="43" t="s">
        <v>5351</v>
      </c>
      <c r="T37" s="43" t="s">
        <v>5319</v>
      </c>
      <c r="U37" s="43" t="s">
        <v>5320</v>
      </c>
      <c r="V37" s="43" t="s">
        <v>5321</v>
      </c>
      <c r="W37" s="43" t="s">
        <v>5322</v>
      </c>
      <c r="X37" s="43" t="s">
        <v>5323</v>
      </c>
      <c r="Y37" s="43" t="s">
        <v>5324</v>
      </c>
      <c r="Z37" s="43" t="s">
        <v>5540</v>
      </c>
      <c r="AA37" s="43" t="s">
        <v>5541</v>
      </c>
      <c r="AB37" s="43"/>
      <c r="AC37" s="43" t="s">
        <v>5542</v>
      </c>
      <c r="AD37" s="43" t="s">
        <v>5543</v>
      </c>
      <c r="AE37" s="43" t="s">
        <v>5324</v>
      </c>
    </row>
    <row r="38" ht="16.8" spans="1:31">
      <c r="A38" s="43" t="s">
        <v>5309</v>
      </c>
      <c r="B38" s="44">
        <v>46230</v>
      </c>
      <c r="C38" s="43" t="s">
        <v>5310</v>
      </c>
      <c r="D38" s="45">
        <v>46230.674417963</v>
      </c>
      <c r="E38" s="43" t="s">
        <v>5544</v>
      </c>
      <c r="F38" s="43" t="s">
        <v>5312</v>
      </c>
      <c r="G38" s="43" t="s">
        <v>5545</v>
      </c>
      <c r="H38" s="43"/>
      <c r="I38" s="46">
        <v>2.66</v>
      </c>
      <c r="J38" s="46">
        <v>0</v>
      </c>
      <c r="K38" s="46">
        <v>2.66</v>
      </c>
      <c r="L38" s="43" t="s">
        <v>5314</v>
      </c>
      <c r="M38" s="46">
        <v>0</v>
      </c>
      <c r="N38" s="43"/>
      <c r="O38" s="43" t="s">
        <v>5315</v>
      </c>
      <c r="P38" s="43" t="s">
        <v>5316</v>
      </c>
      <c r="Q38" s="47">
        <v>1</v>
      </c>
      <c r="R38" s="43" t="s">
        <v>5317</v>
      </c>
      <c r="S38" s="43" t="s">
        <v>5382</v>
      </c>
      <c r="T38" s="43" t="s">
        <v>5319</v>
      </c>
      <c r="U38" s="43" t="s">
        <v>5320</v>
      </c>
      <c r="V38" s="43" t="s">
        <v>5321</v>
      </c>
      <c r="W38" s="43" t="s">
        <v>5322</v>
      </c>
      <c r="X38" s="43" t="s">
        <v>5323</v>
      </c>
      <c r="Y38" s="43" t="s">
        <v>5324</v>
      </c>
      <c r="Z38" s="43" t="s">
        <v>5546</v>
      </c>
      <c r="AA38" s="43" t="s">
        <v>5547</v>
      </c>
      <c r="AB38" s="43"/>
      <c r="AC38" s="43" t="s">
        <v>5548</v>
      </c>
      <c r="AD38" s="43" t="s">
        <v>5549</v>
      </c>
      <c r="AE38" s="43" t="s">
        <v>5324</v>
      </c>
    </row>
    <row r="39" ht="16.8" spans="1:31">
      <c r="A39" s="43" t="s">
        <v>5309</v>
      </c>
      <c r="B39" s="44">
        <v>46230</v>
      </c>
      <c r="C39" s="43" t="s">
        <v>5310</v>
      </c>
      <c r="D39" s="45">
        <v>46230.6755688773</v>
      </c>
      <c r="E39" s="43" t="s">
        <v>5550</v>
      </c>
      <c r="F39" s="43" t="s">
        <v>5312</v>
      </c>
      <c r="G39" s="43" t="s">
        <v>5551</v>
      </c>
      <c r="H39" s="43"/>
      <c r="I39" s="46">
        <v>2.66</v>
      </c>
      <c r="J39" s="46">
        <v>0</v>
      </c>
      <c r="K39" s="46">
        <v>2.66</v>
      </c>
      <c r="L39" s="43" t="s">
        <v>5314</v>
      </c>
      <c r="M39" s="46">
        <v>0</v>
      </c>
      <c r="N39" s="43"/>
      <c r="O39" s="43" t="s">
        <v>5315</v>
      </c>
      <c r="P39" s="43" t="s">
        <v>5316</v>
      </c>
      <c r="Q39" s="47">
        <v>1</v>
      </c>
      <c r="R39" s="43" t="s">
        <v>5317</v>
      </c>
      <c r="S39" s="43" t="s">
        <v>5382</v>
      </c>
      <c r="T39" s="43" t="s">
        <v>5319</v>
      </c>
      <c r="U39" s="43" t="s">
        <v>5320</v>
      </c>
      <c r="V39" s="43" t="s">
        <v>5321</v>
      </c>
      <c r="W39" s="43" t="s">
        <v>5322</v>
      </c>
      <c r="X39" s="43" t="s">
        <v>5323</v>
      </c>
      <c r="Y39" s="43" t="s">
        <v>5324</v>
      </c>
      <c r="Z39" s="43" t="s">
        <v>5552</v>
      </c>
      <c r="AA39" s="43" t="s">
        <v>5553</v>
      </c>
      <c r="AB39" s="43"/>
      <c r="AC39" s="43" t="s">
        <v>5554</v>
      </c>
      <c r="AD39" s="43" t="s">
        <v>5555</v>
      </c>
      <c r="AE39" s="43" t="s">
        <v>5324</v>
      </c>
    </row>
    <row r="40" ht="16.8" spans="1:31">
      <c r="A40" s="43" t="s">
        <v>5309</v>
      </c>
      <c r="B40" s="44">
        <v>46230</v>
      </c>
      <c r="C40" s="43" t="s">
        <v>5310</v>
      </c>
      <c r="D40" s="45">
        <v>46230.676500081</v>
      </c>
      <c r="E40" s="43" t="s">
        <v>5556</v>
      </c>
      <c r="F40" s="43" t="s">
        <v>5312</v>
      </c>
      <c r="G40" s="43" t="s">
        <v>5557</v>
      </c>
      <c r="H40" s="43"/>
      <c r="I40" s="46">
        <v>2.66</v>
      </c>
      <c r="J40" s="46">
        <v>0</v>
      </c>
      <c r="K40" s="46">
        <v>2.66</v>
      </c>
      <c r="L40" s="43" t="s">
        <v>5314</v>
      </c>
      <c r="M40" s="46">
        <v>0</v>
      </c>
      <c r="N40" s="43"/>
      <c r="O40" s="43" t="s">
        <v>5315</v>
      </c>
      <c r="P40" s="43" t="s">
        <v>5316</v>
      </c>
      <c r="Q40" s="47">
        <v>1</v>
      </c>
      <c r="R40" s="43" t="s">
        <v>5317</v>
      </c>
      <c r="S40" s="43" t="s">
        <v>5351</v>
      </c>
      <c r="T40" s="43" t="s">
        <v>5319</v>
      </c>
      <c r="U40" s="43" t="s">
        <v>5320</v>
      </c>
      <c r="V40" s="43" t="s">
        <v>5321</v>
      </c>
      <c r="W40" s="43" t="s">
        <v>5322</v>
      </c>
      <c r="X40" s="43" t="s">
        <v>5323</v>
      </c>
      <c r="Y40" s="43" t="s">
        <v>5324</v>
      </c>
      <c r="Z40" s="43" t="s">
        <v>5558</v>
      </c>
      <c r="AA40" s="43" t="s">
        <v>5559</v>
      </c>
      <c r="AB40" s="43"/>
      <c r="AC40" s="43" t="s">
        <v>5560</v>
      </c>
      <c r="AD40" s="43" t="s">
        <v>5561</v>
      </c>
      <c r="AE40" s="43" t="s">
        <v>5324</v>
      </c>
    </row>
    <row r="41" ht="16.8" spans="1:31">
      <c r="A41" s="43" t="s">
        <v>5309</v>
      </c>
      <c r="B41" s="44">
        <v>46230</v>
      </c>
      <c r="C41" s="43" t="s">
        <v>5310</v>
      </c>
      <c r="D41" s="45">
        <v>46230.6783116667</v>
      </c>
      <c r="E41" s="43" t="s">
        <v>5562</v>
      </c>
      <c r="F41" s="43" t="s">
        <v>5312</v>
      </c>
      <c r="G41" s="43" t="s">
        <v>5563</v>
      </c>
      <c r="H41" s="43"/>
      <c r="I41" s="46">
        <v>3.64</v>
      </c>
      <c r="J41" s="46">
        <v>0</v>
      </c>
      <c r="K41" s="46">
        <v>3.64</v>
      </c>
      <c r="L41" s="43" t="s">
        <v>5314</v>
      </c>
      <c r="M41" s="46">
        <v>0</v>
      </c>
      <c r="N41" s="43"/>
      <c r="O41" s="43" t="s">
        <v>5315</v>
      </c>
      <c r="P41" s="43" t="s">
        <v>5316</v>
      </c>
      <c r="Q41" s="47">
        <v>1</v>
      </c>
      <c r="R41" s="43" t="s">
        <v>5317</v>
      </c>
      <c r="S41" s="43" t="s">
        <v>5351</v>
      </c>
      <c r="T41" s="43" t="s">
        <v>5319</v>
      </c>
      <c r="U41" s="43" t="s">
        <v>5320</v>
      </c>
      <c r="V41" s="43" t="s">
        <v>5321</v>
      </c>
      <c r="W41" s="43" t="s">
        <v>5322</v>
      </c>
      <c r="X41" s="43" t="s">
        <v>5323</v>
      </c>
      <c r="Y41" s="43" t="s">
        <v>5324</v>
      </c>
      <c r="Z41" s="43" t="s">
        <v>5564</v>
      </c>
      <c r="AA41" s="43" t="s">
        <v>5390</v>
      </c>
      <c r="AB41" s="43"/>
      <c r="AC41" s="43" t="s">
        <v>5565</v>
      </c>
      <c r="AD41" s="43" t="s">
        <v>5566</v>
      </c>
      <c r="AE41" s="43" t="s">
        <v>5324</v>
      </c>
    </row>
    <row r="42" ht="16.8" spans="1:31">
      <c r="A42" s="43" t="s">
        <v>5309</v>
      </c>
      <c r="B42" s="44">
        <v>46230</v>
      </c>
      <c r="C42" s="43" t="s">
        <v>5310</v>
      </c>
      <c r="D42" s="45">
        <v>46230.6797128009</v>
      </c>
      <c r="E42" s="43" t="s">
        <v>5567</v>
      </c>
      <c r="F42" s="43" t="s">
        <v>5312</v>
      </c>
      <c r="G42" s="43" t="s">
        <v>5568</v>
      </c>
      <c r="H42" s="43"/>
      <c r="I42" s="46">
        <v>3.64</v>
      </c>
      <c r="J42" s="46">
        <v>0</v>
      </c>
      <c r="K42" s="46">
        <v>3.64</v>
      </c>
      <c r="L42" s="43" t="s">
        <v>5314</v>
      </c>
      <c r="M42" s="46">
        <v>0</v>
      </c>
      <c r="N42" s="43"/>
      <c r="O42" s="43" t="s">
        <v>5315</v>
      </c>
      <c r="P42" s="43" t="s">
        <v>5316</v>
      </c>
      <c r="Q42" s="47">
        <v>1</v>
      </c>
      <c r="R42" s="43" t="s">
        <v>5317</v>
      </c>
      <c r="S42" s="43" t="s">
        <v>5509</v>
      </c>
      <c r="T42" s="43" t="s">
        <v>5319</v>
      </c>
      <c r="U42" s="43" t="s">
        <v>5320</v>
      </c>
      <c r="V42" s="43" t="s">
        <v>5321</v>
      </c>
      <c r="W42" s="43" t="s">
        <v>5322</v>
      </c>
      <c r="X42" s="43" t="s">
        <v>5323</v>
      </c>
      <c r="Y42" s="43" t="s">
        <v>5324</v>
      </c>
      <c r="Z42" s="43" t="s">
        <v>5569</v>
      </c>
      <c r="AA42" s="43" t="s">
        <v>5570</v>
      </c>
      <c r="AB42" s="43"/>
      <c r="AC42" s="43" t="s">
        <v>5571</v>
      </c>
      <c r="AD42" s="43" t="s">
        <v>5572</v>
      </c>
      <c r="AE42" s="43" t="s">
        <v>5324</v>
      </c>
    </row>
    <row r="43" ht="16.8" spans="1:31">
      <c r="A43" s="43" t="s">
        <v>5309</v>
      </c>
      <c r="B43" s="44">
        <v>46230</v>
      </c>
      <c r="C43" s="43" t="s">
        <v>5310</v>
      </c>
      <c r="D43" s="45">
        <v>46230.6808548958</v>
      </c>
      <c r="E43" s="43" t="s">
        <v>5573</v>
      </c>
      <c r="F43" s="43" t="s">
        <v>5312</v>
      </c>
      <c r="G43" s="43" t="s">
        <v>5574</v>
      </c>
      <c r="H43" s="43"/>
      <c r="I43" s="46">
        <v>2.66</v>
      </c>
      <c r="J43" s="46">
        <v>0</v>
      </c>
      <c r="K43" s="46">
        <v>2.66</v>
      </c>
      <c r="L43" s="43" t="s">
        <v>5314</v>
      </c>
      <c r="M43" s="46">
        <v>0</v>
      </c>
      <c r="N43" s="43"/>
      <c r="O43" s="43" t="s">
        <v>5315</v>
      </c>
      <c r="P43" s="43" t="s">
        <v>5316</v>
      </c>
      <c r="Q43" s="47">
        <v>1</v>
      </c>
      <c r="R43" s="43" t="s">
        <v>5317</v>
      </c>
      <c r="S43" s="43" t="s">
        <v>5516</v>
      </c>
      <c r="T43" s="43" t="s">
        <v>5319</v>
      </c>
      <c r="U43" s="43" t="s">
        <v>5320</v>
      </c>
      <c r="V43" s="43" t="s">
        <v>5321</v>
      </c>
      <c r="W43" s="43" t="s">
        <v>5322</v>
      </c>
      <c r="X43" s="43" t="s">
        <v>5323</v>
      </c>
      <c r="Y43" s="43" t="s">
        <v>5324</v>
      </c>
      <c r="Z43" s="43" t="s">
        <v>5575</v>
      </c>
      <c r="AA43" s="43" t="s">
        <v>5576</v>
      </c>
      <c r="AB43" s="43"/>
      <c r="AC43" s="43" t="s">
        <v>5577</v>
      </c>
      <c r="AD43" s="43" t="s">
        <v>5578</v>
      </c>
      <c r="AE43" s="43" t="s">
        <v>5324</v>
      </c>
    </row>
    <row r="44" ht="16.8" spans="1:31">
      <c r="A44" s="43" t="s">
        <v>5309</v>
      </c>
      <c r="B44" s="44">
        <v>46230</v>
      </c>
      <c r="C44" s="43" t="s">
        <v>5310</v>
      </c>
      <c r="D44" s="45">
        <v>46230.6821553472</v>
      </c>
      <c r="E44" s="43" t="s">
        <v>5579</v>
      </c>
      <c r="F44" s="43" t="s">
        <v>5312</v>
      </c>
      <c r="G44" s="43" t="s">
        <v>5580</v>
      </c>
      <c r="H44" s="43"/>
      <c r="I44" s="46">
        <v>3.64</v>
      </c>
      <c r="J44" s="46">
        <v>0</v>
      </c>
      <c r="K44" s="46">
        <v>3.64</v>
      </c>
      <c r="L44" s="43" t="s">
        <v>5314</v>
      </c>
      <c r="M44" s="46">
        <v>0</v>
      </c>
      <c r="N44" s="43"/>
      <c r="O44" s="43" t="s">
        <v>5315</v>
      </c>
      <c r="P44" s="43" t="s">
        <v>5316</v>
      </c>
      <c r="Q44" s="47">
        <v>1</v>
      </c>
      <c r="R44" s="43" t="s">
        <v>5317</v>
      </c>
      <c r="S44" s="43" t="s">
        <v>5382</v>
      </c>
      <c r="T44" s="43" t="s">
        <v>5319</v>
      </c>
      <c r="U44" s="43" t="s">
        <v>5320</v>
      </c>
      <c r="V44" s="43" t="s">
        <v>5321</v>
      </c>
      <c r="W44" s="43" t="s">
        <v>5322</v>
      </c>
      <c r="X44" s="43" t="s">
        <v>5323</v>
      </c>
      <c r="Y44" s="43" t="s">
        <v>5324</v>
      </c>
      <c r="Z44" s="43" t="s">
        <v>5581</v>
      </c>
      <c r="AA44" s="43" t="s">
        <v>5582</v>
      </c>
      <c r="AB44" s="43"/>
      <c r="AC44" s="43" t="s">
        <v>5583</v>
      </c>
      <c r="AD44" s="43" t="s">
        <v>5584</v>
      </c>
      <c r="AE44" s="43" t="s">
        <v>5324</v>
      </c>
    </row>
    <row r="45" ht="16.8" spans="1:31">
      <c r="A45" s="43" t="s">
        <v>5309</v>
      </c>
      <c r="B45" s="44">
        <v>46230</v>
      </c>
      <c r="C45" s="43" t="s">
        <v>5310</v>
      </c>
      <c r="D45" s="45">
        <v>46230.6832654514</v>
      </c>
      <c r="E45" s="43" t="s">
        <v>5585</v>
      </c>
      <c r="F45" s="43" t="s">
        <v>5312</v>
      </c>
      <c r="G45" s="43" t="s">
        <v>5586</v>
      </c>
      <c r="H45" s="43"/>
      <c r="I45" s="46">
        <v>1.8</v>
      </c>
      <c r="J45" s="46">
        <v>0</v>
      </c>
      <c r="K45" s="46">
        <v>1.8</v>
      </c>
      <c r="L45" s="43" t="s">
        <v>5314</v>
      </c>
      <c r="M45" s="46">
        <v>0</v>
      </c>
      <c r="N45" s="43"/>
      <c r="O45" s="43" t="s">
        <v>5315</v>
      </c>
      <c r="P45" s="43" t="s">
        <v>5316</v>
      </c>
      <c r="Q45" s="47">
        <v>1</v>
      </c>
      <c r="R45" s="43" t="s">
        <v>5317</v>
      </c>
      <c r="S45" s="43" t="s">
        <v>5502</v>
      </c>
      <c r="T45" s="43" t="s">
        <v>5319</v>
      </c>
      <c r="U45" s="43" t="s">
        <v>5320</v>
      </c>
      <c r="V45" s="43" t="s">
        <v>5321</v>
      </c>
      <c r="W45" s="43" t="s">
        <v>5322</v>
      </c>
      <c r="X45" s="43" t="s">
        <v>5323</v>
      </c>
      <c r="Y45" s="43" t="s">
        <v>5324</v>
      </c>
      <c r="Z45" s="43" t="s">
        <v>5587</v>
      </c>
      <c r="AA45" s="43" t="s">
        <v>5588</v>
      </c>
      <c r="AB45" s="43"/>
      <c r="AC45" s="43" t="s">
        <v>5589</v>
      </c>
      <c r="AD45" s="43" t="s">
        <v>5590</v>
      </c>
      <c r="AE45" s="43" t="s">
        <v>5324</v>
      </c>
    </row>
    <row r="46" ht="16.8" spans="1:31">
      <c r="A46" s="43" t="s">
        <v>5309</v>
      </c>
      <c r="B46" s="44">
        <v>46230</v>
      </c>
      <c r="C46" s="43" t="s">
        <v>5310</v>
      </c>
      <c r="D46" s="45">
        <v>46230.6846096991</v>
      </c>
      <c r="E46" s="43" t="s">
        <v>5591</v>
      </c>
      <c r="F46" s="43" t="s">
        <v>5312</v>
      </c>
      <c r="G46" s="43" t="s">
        <v>5592</v>
      </c>
      <c r="H46" s="43"/>
      <c r="I46" s="46">
        <v>3.64</v>
      </c>
      <c r="J46" s="46">
        <v>0</v>
      </c>
      <c r="K46" s="46">
        <v>3.64</v>
      </c>
      <c r="L46" s="43" t="s">
        <v>5314</v>
      </c>
      <c r="M46" s="46">
        <v>0</v>
      </c>
      <c r="N46" s="43"/>
      <c r="O46" s="43" t="s">
        <v>5315</v>
      </c>
      <c r="P46" s="43" t="s">
        <v>5316</v>
      </c>
      <c r="Q46" s="47">
        <v>1</v>
      </c>
      <c r="R46" s="43" t="s">
        <v>5317</v>
      </c>
      <c r="S46" s="43" t="s">
        <v>5382</v>
      </c>
      <c r="T46" s="43" t="s">
        <v>5319</v>
      </c>
      <c r="U46" s="43" t="s">
        <v>5320</v>
      </c>
      <c r="V46" s="43" t="s">
        <v>5321</v>
      </c>
      <c r="W46" s="43" t="s">
        <v>5322</v>
      </c>
      <c r="X46" s="43" t="s">
        <v>5323</v>
      </c>
      <c r="Y46" s="43" t="s">
        <v>5324</v>
      </c>
      <c r="Z46" s="43" t="s">
        <v>5593</v>
      </c>
      <c r="AA46" s="43" t="s">
        <v>5594</v>
      </c>
      <c r="AB46" s="43"/>
      <c r="AC46" s="43" t="s">
        <v>5595</v>
      </c>
      <c r="AD46" s="43" t="s">
        <v>5596</v>
      </c>
      <c r="AE46" s="43" t="s">
        <v>5324</v>
      </c>
    </row>
    <row r="47" ht="16.8" spans="1:31">
      <c r="A47" s="43" t="s">
        <v>5309</v>
      </c>
      <c r="B47" s="44">
        <v>46231</v>
      </c>
      <c r="C47" s="43" t="s">
        <v>5310</v>
      </c>
      <c r="D47" s="45">
        <v>46231.4722429167</v>
      </c>
      <c r="E47" s="43" t="s">
        <v>5597</v>
      </c>
      <c r="F47" s="43" t="s">
        <v>5312</v>
      </c>
      <c r="G47" s="43" t="s">
        <v>5598</v>
      </c>
      <c r="H47" s="43"/>
      <c r="I47" s="46">
        <v>1.8</v>
      </c>
      <c r="J47" s="46">
        <v>0</v>
      </c>
      <c r="K47" s="46">
        <v>1.8</v>
      </c>
      <c r="L47" s="43" t="s">
        <v>5314</v>
      </c>
      <c r="M47" s="46">
        <v>0</v>
      </c>
      <c r="N47" s="43"/>
      <c r="O47" s="43" t="s">
        <v>5315</v>
      </c>
      <c r="P47" s="43" t="s">
        <v>5316</v>
      </c>
      <c r="Q47" s="47">
        <v>1</v>
      </c>
      <c r="R47" s="43" t="s">
        <v>5317</v>
      </c>
      <c r="S47" s="43" t="s">
        <v>5599</v>
      </c>
      <c r="T47" s="43" t="s">
        <v>5319</v>
      </c>
      <c r="U47" s="43" t="s">
        <v>5320</v>
      </c>
      <c r="V47" s="43" t="s">
        <v>5321</v>
      </c>
      <c r="W47" s="43" t="s">
        <v>5322</v>
      </c>
      <c r="X47" s="43" t="s">
        <v>5323</v>
      </c>
      <c r="Y47" s="43" t="s">
        <v>5324</v>
      </c>
      <c r="Z47" s="43" t="s">
        <v>5600</v>
      </c>
      <c r="AA47" s="43" t="s">
        <v>5601</v>
      </c>
      <c r="AB47" s="43"/>
      <c r="AC47" s="43" t="s">
        <v>5602</v>
      </c>
      <c r="AD47" s="43" t="s">
        <v>5603</v>
      </c>
      <c r="AE47" s="43" t="s">
        <v>5324</v>
      </c>
    </row>
    <row r="48" ht="16.8" spans="1:31">
      <c r="A48" s="43" t="s">
        <v>5309</v>
      </c>
      <c r="B48" s="44">
        <v>46231</v>
      </c>
      <c r="C48" s="43" t="s">
        <v>5310</v>
      </c>
      <c r="D48" s="45">
        <v>46231.4775820718</v>
      </c>
      <c r="E48" s="43" t="s">
        <v>5604</v>
      </c>
      <c r="F48" s="43" t="s">
        <v>5312</v>
      </c>
      <c r="G48" s="43" t="s">
        <v>5605</v>
      </c>
      <c r="H48" s="43"/>
      <c r="I48" s="46">
        <v>2.66</v>
      </c>
      <c r="J48" s="46">
        <v>0</v>
      </c>
      <c r="K48" s="46">
        <v>2.66</v>
      </c>
      <c r="L48" s="43" t="s">
        <v>5314</v>
      </c>
      <c r="M48" s="46">
        <v>0</v>
      </c>
      <c r="N48" s="43"/>
      <c r="O48" s="43" t="s">
        <v>5315</v>
      </c>
      <c r="P48" s="43" t="s">
        <v>5316</v>
      </c>
      <c r="Q48" s="47">
        <v>1</v>
      </c>
      <c r="R48" s="43" t="s">
        <v>5317</v>
      </c>
      <c r="S48" s="43" t="s">
        <v>5351</v>
      </c>
      <c r="T48" s="43" t="s">
        <v>5319</v>
      </c>
      <c r="U48" s="43" t="s">
        <v>5320</v>
      </c>
      <c r="V48" s="43" t="s">
        <v>5321</v>
      </c>
      <c r="W48" s="43" t="s">
        <v>5322</v>
      </c>
      <c r="X48" s="43" t="s">
        <v>5323</v>
      </c>
      <c r="Y48" s="43" t="s">
        <v>5324</v>
      </c>
      <c r="Z48" s="43" t="s">
        <v>5606</v>
      </c>
      <c r="AA48" s="43" t="s">
        <v>5607</v>
      </c>
      <c r="AB48" s="43"/>
      <c r="AC48" s="43" t="s">
        <v>5608</v>
      </c>
      <c r="AD48" s="43" t="s">
        <v>5609</v>
      </c>
      <c r="AE48" s="43" t="s">
        <v>5324</v>
      </c>
    </row>
    <row r="49" ht="16.8" spans="1:31">
      <c r="A49" s="43" t="s">
        <v>5309</v>
      </c>
      <c r="B49" s="44">
        <v>46231</v>
      </c>
      <c r="C49" s="43" t="s">
        <v>5310</v>
      </c>
      <c r="D49" s="45">
        <v>46231.4794372917</v>
      </c>
      <c r="E49" s="43" t="s">
        <v>5610</v>
      </c>
      <c r="F49" s="43" t="s">
        <v>5312</v>
      </c>
      <c r="G49" s="43" t="s">
        <v>5611</v>
      </c>
      <c r="H49" s="43"/>
      <c r="I49" s="46">
        <v>3.64</v>
      </c>
      <c r="J49" s="46">
        <v>0</v>
      </c>
      <c r="K49" s="46">
        <v>3.64</v>
      </c>
      <c r="L49" s="43" t="s">
        <v>5314</v>
      </c>
      <c r="M49" s="46">
        <v>0</v>
      </c>
      <c r="N49" s="43"/>
      <c r="O49" s="43" t="s">
        <v>5315</v>
      </c>
      <c r="P49" s="43" t="s">
        <v>5316</v>
      </c>
      <c r="Q49" s="47">
        <v>1</v>
      </c>
      <c r="R49" s="43" t="s">
        <v>5317</v>
      </c>
      <c r="S49" s="43" t="s">
        <v>5351</v>
      </c>
      <c r="T49" s="43" t="s">
        <v>5319</v>
      </c>
      <c r="U49" s="43" t="s">
        <v>5320</v>
      </c>
      <c r="V49" s="43" t="s">
        <v>5321</v>
      </c>
      <c r="W49" s="43" t="s">
        <v>5322</v>
      </c>
      <c r="X49" s="43" t="s">
        <v>5323</v>
      </c>
      <c r="Y49" s="43" t="s">
        <v>5324</v>
      </c>
      <c r="Z49" s="43" t="s">
        <v>5612</v>
      </c>
      <c r="AA49" s="43" t="s">
        <v>5613</v>
      </c>
      <c r="AB49" s="43"/>
      <c r="AC49" s="43" t="s">
        <v>5614</v>
      </c>
      <c r="AD49" s="43" t="s">
        <v>5615</v>
      </c>
      <c r="AE49" s="43" t="s">
        <v>5324</v>
      </c>
    </row>
    <row r="50" ht="16.8" spans="1:31">
      <c r="A50" s="43" t="s">
        <v>5309</v>
      </c>
      <c r="B50" s="44">
        <v>46231</v>
      </c>
      <c r="C50" s="43" t="s">
        <v>5310</v>
      </c>
      <c r="D50" s="45">
        <v>46231.4807314931</v>
      </c>
      <c r="E50" s="43" t="s">
        <v>5616</v>
      </c>
      <c r="F50" s="43" t="s">
        <v>5312</v>
      </c>
      <c r="G50" s="43" t="s">
        <v>5617</v>
      </c>
      <c r="H50" s="43"/>
      <c r="I50" s="46">
        <v>3.64</v>
      </c>
      <c r="J50" s="46">
        <v>0</v>
      </c>
      <c r="K50" s="46">
        <v>3.64</v>
      </c>
      <c r="L50" s="43" t="s">
        <v>5314</v>
      </c>
      <c r="M50" s="46">
        <v>0</v>
      </c>
      <c r="N50" s="43"/>
      <c r="O50" s="43" t="s">
        <v>5315</v>
      </c>
      <c r="P50" s="43" t="s">
        <v>5316</v>
      </c>
      <c r="Q50" s="47">
        <v>1</v>
      </c>
      <c r="R50" s="43" t="s">
        <v>5317</v>
      </c>
      <c r="S50" s="43" t="s">
        <v>5351</v>
      </c>
      <c r="T50" s="43" t="s">
        <v>5319</v>
      </c>
      <c r="U50" s="43" t="s">
        <v>5320</v>
      </c>
      <c r="V50" s="43" t="s">
        <v>5321</v>
      </c>
      <c r="W50" s="43" t="s">
        <v>5322</v>
      </c>
      <c r="X50" s="43" t="s">
        <v>5323</v>
      </c>
      <c r="Y50" s="43" t="s">
        <v>5324</v>
      </c>
      <c r="Z50" s="43" t="s">
        <v>5618</v>
      </c>
      <c r="AA50" s="43" t="s">
        <v>5619</v>
      </c>
      <c r="AB50" s="43"/>
      <c r="AC50" s="43" t="s">
        <v>5620</v>
      </c>
      <c r="AD50" s="43" t="s">
        <v>5621</v>
      </c>
      <c r="AE50" s="43" t="s">
        <v>5324</v>
      </c>
    </row>
    <row r="51" ht="16.8" spans="1:31">
      <c r="A51" s="43" t="s">
        <v>5309</v>
      </c>
      <c r="B51" s="44">
        <v>46231</v>
      </c>
      <c r="C51" s="43" t="s">
        <v>5310</v>
      </c>
      <c r="D51" s="45">
        <v>46231.4822012268</v>
      </c>
      <c r="E51" s="43" t="s">
        <v>5622</v>
      </c>
      <c r="F51" s="43" t="s">
        <v>5312</v>
      </c>
      <c r="G51" s="43" t="s">
        <v>5623</v>
      </c>
      <c r="H51" s="43"/>
      <c r="I51" s="46">
        <v>3.64</v>
      </c>
      <c r="J51" s="46">
        <v>0</v>
      </c>
      <c r="K51" s="46">
        <v>3.64</v>
      </c>
      <c r="L51" s="43" t="s">
        <v>5314</v>
      </c>
      <c r="M51" s="46">
        <v>0</v>
      </c>
      <c r="N51" s="43"/>
      <c r="O51" s="43" t="s">
        <v>5315</v>
      </c>
      <c r="P51" s="43" t="s">
        <v>5316</v>
      </c>
      <c r="Q51" s="47">
        <v>1</v>
      </c>
      <c r="R51" s="43" t="s">
        <v>5317</v>
      </c>
      <c r="S51" s="43" t="s">
        <v>5351</v>
      </c>
      <c r="T51" s="43" t="s">
        <v>5319</v>
      </c>
      <c r="U51" s="43" t="s">
        <v>5320</v>
      </c>
      <c r="V51" s="43" t="s">
        <v>5321</v>
      </c>
      <c r="W51" s="43" t="s">
        <v>5322</v>
      </c>
      <c r="X51" s="43" t="s">
        <v>5323</v>
      </c>
      <c r="Y51" s="43" t="s">
        <v>5324</v>
      </c>
      <c r="Z51" s="43" t="s">
        <v>5624</v>
      </c>
      <c r="AA51" s="43" t="s">
        <v>5625</v>
      </c>
      <c r="AB51" s="43"/>
      <c r="AC51" s="43" t="s">
        <v>5626</v>
      </c>
      <c r="AD51" s="43" t="s">
        <v>5627</v>
      </c>
      <c r="AE51" s="43" t="s">
        <v>5324</v>
      </c>
    </row>
    <row r="52" ht="16.8" spans="1:31">
      <c r="A52" s="43" t="s">
        <v>5309</v>
      </c>
      <c r="B52" s="44">
        <v>46231</v>
      </c>
      <c r="C52" s="43" t="s">
        <v>5310</v>
      </c>
      <c r="D52" s="45">
        <v>46231.4834236458</v>
      </c>
      <c r="E52" s="43" t="s">
        <v>5628</v>
      </c>
      <c r="F52" s="43" t="s">
        <v>5312</v>
      </c>
      <c r="G52" s="43" t="s">
        <v>5629</v>
      </c>
      <c r="H52" s="43"/>
      <c r="I52" s="46">
        <v>2.66</v>
      </c>
      <c r="J52" s="46">
        <v>0</v>
      </c>
      <c r="K52" s="46">
        <v>2.66</v>
      </c>
      <c r="L52" s="43" t="s">
        <v>5314</v>
      </c>
      <c r="M52" s="46">
        <v>0</v>
      </c>
      <c r="N52" s="43"/>
      <c r="O52" s="43" t="s">
        <v>5315</v>
      </c>
      <c r="P52" s="43" t="s">
        <v>5316</v>
      </c>
      <c r="Q52" s="47">
        <v>1</v>
      </c>
      <c r="R52" s="43" t="s">
        <v>5317</v>
      </c>
      <c r="S52" s="43" t="s">
        <v>5382</v>
      </c>
      <c r="T52" s="43" t="s">
        <v>5319</v>
      </c>
      <c r="U52" s="43" t="s">
        <v>5320</v>
      </c>
      <c r="V52" s="43" t="s">
        <v>5321</v>
      </c>
      <c r="W52" s="43" t="s">
        <v>5322</v>
      </c>
      <c r="X52" s="43" t="s">
        <v>5323</v>
      </c>
      <c r="Y52" s="43" t="s">
        <v>5324</v>
      </c>
      <c r="Z52" s="43" t="s">
        <v>5630</v>
      </c>
      <c r="AA52" s="43" t="s">
        <v>5631</v>
      </c>
      <c r="AB52" s="43"/>
      <c r="AC52" s="43" t="s">
        <v>5632</v>
      </c>
      <c r="AD52" s="43" t="s">
        <v>5633</v>
      </c>
      <c r="AE52" s="43" t="s">
        <v>5324</v>
      </c>
    </row>
    <row r="53" ht="16.8" spans="1:31">
      <c r="A53" s="43" t="s">
        <v>5309</v>
      </c>
      <c r="B53" s="44">
        <v>46231</v>
      </c>
      <c r="C53" s="43" t="s">
        <v>5310</v>
      </c>
      <c r="D53" s="45">
        <v>46231.484690625</v>
      </c>
      <c r="E53" s="43" t="s">
        <v>5634</v>
      </c>
      <c r="F53" s="43" t="s">
        <v>5312</v>
      </c>
      <c r="G53" s="43" t="s">
        <v>5635</v>
      </c>
      <c r="H53" s="43"/>
      <c r="I53" s="46">
        <v>3.64</v>
      </c>
      <c r="J53" s="46">
        <v>0</v>
      </c>
      <c r="K53" s="46">
        <v>3.64</v>
      </c>
      <c r="L53" s="43" t="s">
        <v>5314</v>
      </c>
      <c r="M53" s="46">
        <v>0</v>
      </c>
      <c r="N53" s="43"/>
      <c r="O53" s="43" t="s">
        <v>5315</v>
      </c>
      <c r="P53" s="43" t="s">
        <v>5316</v>
      </c>
      <c r="Q53" s="47">
        <v>1</v>
      </c>
      <c r="R53" s="43" t="s">
        <v>5317</v>
      </c>
      <c r="S53" s="43" t="s">
        <v>5382</v>
      </c>
      <c r="T53" s="43" t="s">
        <v>5319</v>
      </c>
      <c r="U53" s="43" t="s">
        <v>5320</v>
      </c>
      <c r="V53" s="43" t="s">
        <v>5321</v>
      </c>
      <c r="W53" s="43" t="s">
        <v>5322</v>
      </c>
      <c r="X53" s="43" t="s">
        <v>5323</v>
      </c>
      <c r="Y53" s="43" t="s">
        <v>5324</v>
      </c>
      <c r="Z53" s="43" t="s">
        <v>5636</v>
      </c>
      <c r="AA53" s="43" t="s">
        <v>5637</v>
      </c>
      <c r="AB53" s="43"/>
      <c r="AC53" s="43" t="s">
        <v>5638</v>
      </c>
      <c r="AD53" s="43" t="s">
        <v>5386</v>
      </c>
      <c r="AE53" s="43" t="s">
        <v>5324</v>
      </c>
    </row>
    <row r="54" ht="16.8" spans="1:31">
      <c r="A54" s="43" t="s">
        <v>5309</v>
      </c>
      <c r="B54" s="44">
        <v>46231</v>
      </c>
      <c r="C54" s="43" t="s">
        <v>5310</v>
      </c>
      <c r="D54" s="45">
        <v>46231.4860919444</v>
      </c>
      <c r="E54" s="43" t="s">
        <v>5639</v>
      </c>
      <c r="F54" s="43" t="s">
        <v>5312</v>
      </c>
      <c r="G54" s="43" t="s">
        <v>5640</v>
      </c>
      <c r="H54" s="43"/>
      <c r="I54" s="46">
        <v>2.66</v>
      </c>
      <c r="J54" s="46">
        <v>0</v>
      </c>
      <c r="K54" s="46">
        <v>2.66</v>
      </c>
      <c r="L54" s="43" t="s">
        <v>5314</v>
      </c>
      <c r="M54" s="46">
        <v>0</v>
      </c>
      <c r="N54" s="43"/>
      <c r="O54" s="43" t="s">
        <v>5315</v>
      </c>
      <c r="P54" s="43" t="s">
        <v>5316</v>
      </c>
      <c r="Q54" s="47">
        <v>1</v>
      </c>
      <c r="R54" s="43" t="s">
        <v>5317</v>
      </c>
      <c r="S54" s="43" t="s">
        <v>5351</v>
      </c>
      <c r="T54" s="43" t="s">
        <v>5319</v>
      </c>
      <c r="U54" s="43" t="s">
        <v>5320</v>
      </c>
      <c r="V54" s="43" t="s">
        <v>5321</v>
      </c>
      <c r="W54" s="43" t="s">
        <v>5322</v>
      </c>
      <c r="X54" s="43" t="s">
        <v>5323</v>
      </c>
      <c r="Y54" s="43" t="s">
        <v>5324</v>
      </c>
      <c r="Z54" s="43" t="s">
        <v>5641</v>
      </c>
      <c r="AA54" s="43" t="s">
        <v>5642</v>
      </c>
      <c r="AB54" s="43"/>
      <c r="AC54" s="43" t="s">
        <v>5643</v>
      </c>
      <c r="AD54" s="43" t="s">
        <v>5644</v>
      </c>
      <c r="AE54" s="43" t="s">
        <v>5324</v>
      </c>
    </row>
    <row r="55" ht="16.8" spans="1:31">
      <c r="A55" s="43" t="s">
        <v>5309</v>
      </c>
      <c r="B55" s="44">
        <v>46231</v>
      </c>
      <c r="C55" s="43" t="s">
        <v>5310</v>
      </c>
      <c r="D55" s="45">
        <v>46231.4871430093</v>
      </c>
      <c r="E55" s="43" t="s">
        <v>5645</v>
      </c>
      <c r="F55" s="43" t="s">
        <v>5312</v>
      </c>
      <c r="G55" s="43" t="s">
        <v>5646</v>
      </c>
      <c r="H55" s="43"/>
      <c r="I55" s="46">
        <v>3.64</v>
      </c>
      <c r="J55" s="46">
        <v>0</v>
      </c>
      <c r="K55" s="46">
        <v>3.64</v>
      </c>
      <c r="L55" s="43" t="s">
        <v>5314</v>
      </c>
      <c r="M55" s="46">
        <v>0</v>
      </c>
      <c r="N55" s="43"/>
      <c r="O55" s="43" t="s">
        <v>5315</v>
      </c>
      <c r="P55" s="43" t="s">
        <v>5316</v>
      </c>
      <c r="Q55" s="47">
        <v>1</v>
      </c>
      <c r="R55" s="43" t="s">
        <v>5317</v>
      </c>
      <c r="S55" s="43" t="s">
        <v>5382</v>
      </c>
      <c r="T55" s="43" t="s">
        <v>5319</v>
      </c>
      <c r="U55" s="43" t="s">
        <v>5320</v>
      </c>
      <c r="V55" s="43" t="s">
        <v>5321</v>
      </c>
      <c r="W55" s="43" t="s">
        <v>5322</v>
      </c>
      <c r="X55" s="43" t="s">
        <v>5323</v>
      </c>
      <c r="Y55" s="43" t="s">
        <v>5324</v>
      </c>
      <c r="Z55" s="43" t="s">
        <v>5647</v>
      </c>
      <c r="AA55" s="43" t="s">
        <v>5648</v>
      </c>
      <c r="AB55" s="43"/>
      <c r="AC55" s="43" t="s">
        <v>5649</v>
      </c>
      <c r="AD55" s="43" t="s">
        <v>5650</v>
      </c>
      <c r="AE55" s="43" t="s">
        <v>5324</v>
      </c>
    </row>
    <row r="56" ht="16.8" spans="1:31">
      <c r="A56" s="43" t="s">
        <v>5309</v>
      </c>
      <c r="B56" s="44">
        <v>46231</v>
      </c>
      <c r="C56" s="43" t="s">
        <v>5310</v>
      </c>
      <c r="D56" s="45">
        <v>46231.4880640394</v>
      </c>
      <c r="E56" s="43" t="s">
        <v>5651</v>
      </c>
      <c r="F56" s="43" t="s">
        <v>5312</v>
      </c>
      <c r="G56" s="43" t="s">
        <v>5652</v>
      </c>
      <c r="H56" s="43"/>
      <c r="I56" s="46">
        <v>3.64</v>
      </c>
      <c r="J56" s="46">
        <v>0</v>
      </c>
      <c r="K56" s="46">
        <v>3.64</v>
      </c>
      <c r="L56" s="43" t="s">
        <v>5314</v>
      </c>
      <c r="M56" s="46">
        <v>0</v>
      </c>
      <c r="N56" s="43"/>
      <c r="O56" s="43" t="s">
        <v>5315</v>
      </c>
      <c r="P56" s="43" t="s">
        <v>5316</v>
      </c>
      <c r="Q56" s="47">
        <v>1</v>
      </c>
      <c r="R56" s="43" t="s">
        <v>5317</v>
      </c>
      <c r="S56" s="43" t="s">
        <v>5351</v>
      </c>
      <c r="T56" s="43" t="s">
        <v>5319</v>
      </c>
      <c r="U56" s="43" t="s">
        <v>5320</v>
      </c>
      <c r="V56" s="43" t="s">
        <v>5321</v>
      </c>
      <c r="W56" s="43" t="s">
        <v>5322</v>
      </c>
      <c r="X56" s="43" t="s">
        <v>5323</v>
      </c>
      <c r="Y56" s="43" t="s">
        <v>5324</v>
      </c>
      <c r="Z56" s="43" t="s">
        <v>5653</v>
      </c>
      <c r="AA56" s="43" t="s">
        <v>5553</v>
      </c>
      <c r="AB56" s="43"/>
      <c r="AC56" s="43" t="s">
        <v>5654</v>
      </c>
      <c r="AD56" s="43" t="s">
        <v>5655</v>
      </c>
      <c r="AE56" s="43" t="s">
        <v>5324</v>
      </c>
    </row>
    <row r="57" ht="16.8" spans="1:31">
      <c r="A57" s="43" t="s">
        <v>5309</v>
      </c>
      <c r="B57" s="44">
        <v>46231</v>
      </c>
      <c r="C57" s="43" t="s">
        <v>5310</v>
      </c>
      <c r="D57" s="45">
        <v>46231.4889887963</v>
      </c>
      <c r="E57" s="43" t="s">
        <v>5656</v>
      </c>
      <c r="F57" s="43" t="s">
        <v>5312</v>
      </c>
      <c r="G57" s="43" t="s">
        <v>5657</v>
      </c>
      <c r="H57" s="43"/>
      <c r="I57" s="46">
        <v>2.66</v>
      </c>
      <c r="J57" s="46">
        <v>0</v>
      </c>
      <c r="K57" s="46">
        <v>2.66</v>
      </c>
      <c r="L57" s="43" t="s">
        <v>5314</v>
      </c>
      <c r="M57" s="46">
        <v>0</v>
      </c>
      <c r="N57" s="43"/>
      <c r="O57" s="43" t="s">
        <v>5315</v>
      </c>
      <c r="P57" s="43" t="s">
        <v>5316</v>
      </c>
      <c r="Q57" s="47">
        <v>1</v>
      </c>
      <c r="R57" s="43" t="s">
        <v>5317</v>
      </c>
      <c r="S57" s="43" t="s">
        <v>5351</v>
      </c>
      <c r="T57" s="43" t="s">
        <v>5319</v>
      </c>
      <c r="U57" s="43" t="s">
        <v>5320</v>
      </c>
      <c r="V57" s="43" t="s">
        <v>5321</v>
      </c>
      <c r="W57" s="43" t="s">
        <v>5322</v>
      </c>
      <c r="X57" s="43" t="s">
        <v>5323</v>
      </c>
      <c r="Y57" s="43" t="s">
        <v>5324</v>
      </c>
      <c r="Z57" s="43" t="s">
        <v>5658</v>
      </c>
      <c r="AA57" s="43" t="s">
        <v>5659</v>
      </c>
      <c r="AB57" s="43"/>
      <c r="AC57" s="43" t="s">
        <v>5660</v>
      </c>
      <c r="AD57" s="43" t="s">
        <v>5661</v>
      </c>
      <c r="AE57" s="43" t="s">
        <v>5324</v>
      </c>
    </row>
    <row r="58" ht="16.8" spans="1:31">
      <c r="A58" s="43" t="s">
        <v>5309</v>
      </c>
      <c r="B58" s="44">
        <v>46231</v>
      </c>
      <c r="C58" s="43" t="s">
        <v>5310</v>
      </c>
      <c r="D58" s="45">
        <v>46231.4899059491</v>
      </c>
      <c r="E58" s="43" t="s">
        <v>5662</v>
      </c>
      <c r="F58" s="43" t="s">
        <v>5312</v>
      </c>
      <c r="G58" s="43" t="s">
        <v>5663</v>
      </c>
      <c r="H58" s="43"/>
      <c r="I58" s="46">
        <v>2.66</v>
      </c>
      <c r="J58" s="46">
        <v>0</v>
      </c>
      <c r="K58" s="46">
        <v>2.66</v>
      </c>
      <c r="L58" s="43" t="s">
        <v>5314</v>
      </c>
      <c r="M58" s="46">
        <v>0</v>
      </c>
      <c r="N58" s="43"/>
      <c r="O58" s="43" t="s">
        <v>5315</v>
      </c>
      <c r="P58" s="43" t="s">
        <v>5316</v>
      </c>
      <c r="Q58" s="47">
        <v>1</v>
      </c>
      <c r="R58" s="43" t="s">
        <v>5317</v>
      </c>
      <c r="S58" s="43" t="s">
        <v>5351</v>
      </c>
      <c r="T58" s="43" t="s">
        <v>5319</v>
      </c>
      <c r="U58" s="43" t="s">
        <v>5320</v>
      </c>
      <c r="V58" s="43" t="s">
        <v>5321</v>
      </c>
      <c r="W58" s="43" t="s">
        <v>5322</v>
      </c>
      <c r="X58" s="43" t="s">
        <v>5323</v>
      </c>
      <c r="Y58" s="43" t="s">
        <v>5324</v>
      </c>
      <c r="Z58" s="43" t="s">
        <v>5664</v>
      </c>
      <c r="AA58" s="43" t="s">
        <v>5665</v>
      </c>
      <c r="AB58" s="43"/>
      <c r="AC58" s="43" t="s">
        <v>5666</v>
      </c>
      <c r="AD58" s="43" t="s">
        <v>5667</v>
      </c>
      <c r="AE58" s="43" t="s">
        <v>5324</v>
      </c>
    </row>
    <row r="59" ht="16.8" spans="1:31">
      <c r="A59" s="43" t="s">
        <v>5309</v>
      </c>
      <c r="B59" s="44">
        <v>46231</v>
      </c>
      <c r="C59" s="43" t="s">
        <v>5310</v>
      </c>
      <c r="D59" s="45">
        <v>46231.4912109491</v>
      </c>
      <c r="E59" s="43" t="s">
        <v>5668</v>
      </c>
      <c r="F59" s="43" t="s">
        <v>5312</v>
      </c>
      <c r="G59" s="43" t="s">
        <v>5669</v>
      </c>
      <c r="H59" s="43"/>
      <c r="I59" s="46">
        <v>2.66</v>
      </c>
      <c r="J59" s="46">
        <v>0</v>
      </c>
      <c r="K59" s="46">
        <v>2.66</v>
      </c>
      <c r="L59" s="43" t="s">
        <v>5314</v>
      </c>
      <c r="M59" s="46">
        <v>0</v>
      </c>
      <c r="N59" s="43"/>
      <c r="O59" s="43" t="s">
        <v>5315</v>
      </c>
      <c r="P59" s="43" t="s">
        <v>5316</v>
      </c>
      <c r="Q59" s="47">
        <v>1</v>
      </c>
      <c r="R59" s="43" t="s">
        <v>5317</v>
      </c>
      <c r="S59" s="43" t="s">
        <v>5351</v>
      </c>
      <c r="T59" s="43" t="s">
        <v>5319</v>
      </c>
      <c r="U59" s="43" t="s">
        <v>5320</v>
      </c>
      <c r="V59" s="43" t="s">
        <v>5321</v>
      </c>
      <c r="W59" s="43" t="s">
        <v>5322</v>
      </c>
      <c r="X59" s="43" t="s">
        <v>5323</v>
      </c>
      <c r="Y59" s="43" t="s">
        <v>5324</v>
      </c>
      <c r="Z59" s="43" t="s">
        <v>5670</v>
      </c>
      <c r="AA59" s="43" t="s">
        <v>5671</v>
      </c>
      <c r="AB59" s="43"/>
      <c r="AC59" s="43" t="s">
        <v>5672</v>
      </c>
      <c r="AD59" s="43" t="s">
        <v>5673</v>
      </c>
      <c r="AE59" s="43" t="s">
        <v>5324</v>
      </c>
    </row>
    <row r="60" ht="16.8" spans="1:31">
      <c r="A60" s="43" t="s">
        <v>5309</v>
      </c>
      <c r="B60" s="44">
        <v>46231</v>
      </c>
      <c r="C60" s="43" t="s">
        <v>5310</v>
      </c>
      <c r="D60" s="45">
        <v>46231.4922140394</v>
      </c>
      <c r="E60" s="43" t="s">
        <v>5674</v>
      </c>
      <c r="F60" s="43" t="s">
        <v>5312</v>
      </c>
      <c r="G60" s="43" t="s">
        <v>5675</v>
      </c>
      <c r="H60" s="43"/>
      <c r="I60" s="46">
        <v>2.66</v>
      </c>
      <c r="J60" s="46">
        <v>0</v>
      </c>
      <c r="K60" s="46">
        <v>2.66</v>
      </c>
      <c r="L60" s="43" t="s">
        <v>5314</v>
      </c>
      <c r="M60" s="46">
        <v>0</v>
      </c>
      <c r="N60" s="43"/>
      <c r="O60" s="43" t="s">
        <v>5315</v>
      </c>
      <c r="P60" s="43" t="s">
        <v>5316</v>
      </c>
      <c r="Q60" s="47">
        <v>1</v>
      </c>
      <c r="R60" s="43" t="s">
        <v>5317</v>
      </c>
      <c r="S60" s="43" t="s">
        <v>5351</v>
      </c>
      <c r="T60" s="43" t="s">
        <v>5319</v>
      </c>
      <c r="U60" s="43" t="s">
        <v>5320</v>
      </c>
      <c r="V60" s="43" t="s">
        <v>5321</v>
      </c>
      <c r="W60" s="43" t="s">
        <v>5322</v>
      </c>
      <c r="X60" s="43" t="s">
        <v>5323</v>
      </c>
      <c r="Y60" s="43" t="s">
        <v>5324</v>
      </c>
      <c r="Z60" s="43" t="s">
        <v>5676</v>
      </c>
      <c r="AA60" s="43" t="s">
        <v>5677</v>
      </c>
      <c r="AB60" s="43"/>
      <c r="AC60" s="43" t="s">
        <v>5678</v>
      </c>
      <c r="AD60" s="43" t="s">
        <v>5679</v>
      </c>
      <c r="AE60" s="43" t="s">
        <v>5324</v>
      </c>
    </row>
    <row r="61" ht="16.8" spans="1:31">
      <c r="A61" s="43" t="s">
        <v>5309</v>
      </c>
      <c r="B61" s="44">
        <v>46231</v>
      </c>
      <c r="C61" s="43" t="s">
        <v>5310</v>
      </c>
      <c r="D61" s="45">
        <v>46231.4932145602</v>
      </c>
      <c r="E61" s="43" t="s">
        <v>5680</v>
      </c>
      <c r="F61" s="43" t="s">
        <v>5312</v>
      </c>
      <c r="G61" s="43" t="s">
        <v>5681</v>
      </c>
      <c r="H61" s="43"/>
      <c r="I61" s="46">
        <v>2.66</v>
      </c>
      <c r="J61" s="46">
        <v>0</v>
      </c>
      <c r="K61" s="46">
        <v>2.66</v>
      </c>
      <c r="L61" s="43" t="s">
        <v>5314</v>
      </c>
      <c r="M61" s="46">
        <v>0</v>
      </c>
      <c r="N61" s="43"/>
      <c r="O61" s="43" t="s">
        <v>5315</v>
      </c>
      <c r="P61" s="43" t="s">
        <v>5316</v>
      </c>
      <c r="Q61" s="47">
        <v>1</v>
      </c>
      <c r="R61" s="43" t="s">
        <v>5317</v>
      </c>
      <c r="S61" s="43" t="s">
        <v>5382</v>
      </c>
      <c r="T61" s="43" t="s">
        <v>5319</v>
      </c>
      <c r="U61" s="43" t="s">
        <v>5320</v>
      </c>
      <c r="V61" s="43" t="s">
        <v>5321</v>
      </c>
      <c r="W61" s="43" t="s">
        <v>5322</v>
      </c>
      <c r="X61" s="43" t="s">
        <v>5323</v>
      </c>
      <c r="Y61" s="43" t="s">
        <v>5324</v>
      </c>
      <c r="Z61" s="43" t="s">
        <v>5682</v>
      </c>
      <c r="AA61" s="43" t="s">
        <v>5683</v>
      </c>
      <c r="AB61" s="43"/>
      <c r="AC61" s="43" t="s">
        <v>5684</v>
      </c>
      <c r="AD61" s="43" t="s">
        <v>5685</v>
      </c>
      <c r="AE61" s="43" t="s">
        <v>5324</v>
      </c>
    </row>
    <row r="62" ht="16.8" spans="1:31">
      <c r="A62" s="43" t="s">
        <v>5309</v>
      </c>
      <c r="B62" s="44">
        <v>46231</v>
      </c>
      <c r="C62" s="43" t="s">
        <v>5310</v>
      </c>
      <c r="D62" s="45">
        <v>46231.4941568056</v>
      </c>
      <c r="E62" s="43" t="s">
        <v>5686</v>
      </c>
      <c r="F62" s="43" t="s">
        <v>5312</v>
      </c>
      <c r="G62" s="43" t="s">
        <v>5687</v>
      </c>
      <c r="H62" s="43"/>
      <c r="I62" s="46">
        <v>2.66</v>
      </c>
      <c r="J62" s="46">
        <v>0</v>
      </c>
      <c r="K62" s="46">
        <v>2.66</v>
      </c>
      <c r="L62" s="43" t="s">
        <v>5314</v>
      </c>
      <c r="M62" s="46">
        <v>0</v>
      </c>
      <c r="N62" s="43"/>
      <c r="O62" s="43" t="s">
        <v>5315</v>
      </c>
      <c r="P62" s="43" t="s">
        <v>5316</v>
      </c>
      <c r="Q62" s="47">
        <v>1</v>
      </c>
      <c r="R62" s="43" t="s">
        <v>5317</v>
      </c>
      <c r="S62" s="43" t="s">
        <v>5382</v>
      </c>
      <c r="T62" s="43" t="s">
        <v>5319</v>
      </c>
      <c r="U62" s="43" t="s">
        <v>5320</v>
      </c>
      <c r="V62" s="43" t="s">
        <v>5321</v>
      </c>
      <c r="W62" s="43" t="s">
        <v>5322</v>
      </c>
      <c r="X62" s="43" t="s">
        <v>5323</v>
      </c>
      <c r="Y62" s="43" t="s">
        <v>5324</v>
      </c>
      <c r="Z62" s="43" t="s">
        <v>5688</v>
      </c>
      <c r="AA62" s="43" t="s">
        <v>5689</v>
      </c>
      <c r="AB62" s="43"/>
      <c r="AC62" s="43" t="s">
        <v>5690</v>
      </c>
      <c r="AD62" s="43" t="s">
        <v>5691</v>
      </c>
      <c r="AE62" s="43" t="s">
        <v>5324</v>
      </c>
    </row>
    <row r="63" ht="16.8" spans="1:31">
      <c r="A63" s="43" t="s">
        <v>5309</v>
      </c>
      <c r="B63" s="44">
        <v>46231</v>
      </c>
      <c r="C63" s="43" t="s">
        <v>5310</v>
      </c>
      <c r="D63" s="45">
        <v>46231.4950501389</v>
      </c>
      <c r="E63" s="43" t="s">
        <v>5692</v>
      </c>
      <c r="F63" s="43" t="s">
        <v>5312</v>
      </c>
      <c r="G63" s="43" t="s">
        <v>5693</v>
      </c>
      <c r="H63" s="43"/>
      <c r="I63" s="46">
        <v>2.66</v>
      </c>
      <c r="J63" s="46">
        <v>0</v>
      </c>
      <c r="K63" s="46">
        <v>2.66</v>
      </c>
      <c r="L63" s="43" t="s">
        <v>5314</v>
      </c>
      <c r="M63" s="46">
        <v>0</v>
      </c>
      <c r="N63" s="43"/>
      <c r="O63" s="43" t="s">
        <v>5315</v>
      </c>
      <c r="P63" s="43" t="s">
        <v>5316</v>
      </c>
      <c r="Q63" s="47">
        <v>1</v>
      </c>
      <c r="R63" s="43" t="s">
        <v>5317</v>
      </c>
      <c r="S63" s="43" t="s">
        <v>5382</v>
      </c>
      <c r="T63" s="43" t="s">
        <v>5319</v>
      </c>
      <c r="U63" s="43" t="s">
        <v>5320</v>
      </c>
      <c r="V63" s="43" t="s">
        <v>5321</v>
      </c>
      <c r="W63" s="43" t="s">
        <v>5322</v>
      </c>
      <c r="X63" s="43" t="s">
        <v>5323</v>
      </c>
      <c r="Y63" s="43" t="s">
        <v>5324</v>
      </c>
      <c r="Z63" s="43" t="s">
        <v>5694</v>
      </c>
      <c r="AA63" s="43" t="s">
        <v>5695</v>
      </c>
      <c r="AB63" s="43"/>
      <c r="AC63" s="43" t="s">
        <v>5696</v>
      </c>
      <c r="AD63" s="43" t="s">
        <v>5697</v>
      </c>
      <c r="AE63" s="43" t="s">
        <v>5324</v>
      </c>
    </row>
    <row r="64" ht="16.8" spans="1:31">
      <c r="A64" s="43" t="s">
        <v>5309</v>
      </c>
      <c r="B64" s="44">
        <v>46231</v>
      </c>
      <c r="C64" s="43" t="s">
        <v>5310</v>
      </c>
      <c r="D64" s="45">
        <v>46231.49729</v>
      </c>
      <c r="E64" s="43" t="s">
        <v>5698</v>
      </c>
      <c r="F64" s="43" t="s">
        <v>5312</v>
      </c>
      <c r="G64" s="43" t="s">
        <v>5699</v>
      </c>
      <c r="H64" s="43"/>
      <c r="I64" s="46">
        <v>3.64</v>
      </c>
      <c r="J64" s="46">
        <v>0</v>
      </c>
      <c r="K64" s="46">
        <v>3.64</v>
      </c>
      <c r="L64" s="43" t="s">
        <v>5314</v>
      </c>
      <c r="M64" s="46">
        <v>0</v>
      </c>
      <c r="N64" s="43"/>
      <c r="O64" s="43" t="s">
        <v>5315</v>
      </c>
      <c r="P64" s="43" t="s">
        <v>5316</v>
      </c>
      <c r="Q64" s="47">
        <v>1</v>
      </c>
      <c r="R64" s="43" t="s">
        <v>5317</v>
      </c>
      <c r="S64" s="43" t="s">
        <v>5382</v>
      </c>
      <c r="T64" s="43" t="s">
        <v>5319</v>
      </c>
      <c r="U64" s="43" t="s">
        <v>5320</v>
      </c>
      <c r="V64" s="43" t="s">
        <v>5321</v>
      </c>
      <c r="W64" s="43" t="s">
        <v>5322</v>
      </c>
      <c r="X64" s="43" t="s">
        <v>5323</v>
      </c>
      <c r="Y64" s="43" t="s">
        <v>5324</v>
      </c>
      <c r="Z64" s="43" t="s">
        <v>5700</v>
      </c>
      <c r="AA64" s="43" t="s">
        <v>5701</v>
      </c>
      <c r="AB64" s="43"/>
      <c r="AC64" s="43" t="s">
        <v>5702</v>
      </c>
      <c r="AD64" s="43" t="s">
        <v>5703</v>
      </c>
      <c r="AE64" s="43" t="s">
        <v>5324</v>
      </c>
    </row>
    <row r="65" ht="16.8" spans="1:31">
      <c r="A65" s="43" t="s">
        <v>5309</v>
      </c>
      <c r="B65" s="44">
        <v>46231</v>
      </c>
      <c r="C65" s="43" t="s">
        <v>5310</v>
      </c>
      <c r="D65" s="45">
        <v>46231.4981310301</v>
      </c>
      <c r="E65" s="43" t="s">
        <v>5704</v>
      </c>
      <c r="F65" s="43" t="s">
        <v>5312</v>
      </c>
      <c r="G65" s="43" t="s">
        <v>5705</v>
      </c>
      <c r="H65" s="43"/>
      <c r="I65" s="46">
        <v>2.66</v>
      </c>
      <c r="J65" s="46">
        <v>0</v>
      </c>
      <c r="K65" s="46">
        <v>2.66</v>
      </c>
      <c r="L65" s="43" t="s">
        <v>5314</v>
      </c>
      <c r="M65" s="46">
        <v>0</v>
      </c>
      <c r="N65" s="43"/>
      <c r="O65" s="43" t="s">
        <v>5315</v>
      </c>
      <c r="P65" s="43" t="s">
        <v>5316</v>
      </c>
      <c r="Q65" s="47">
        <v>1</v>
      </c>
      <c r="R65" s="43" t="s">
        <v>5317</v>
      </c>
      <c r="S65" s="43" t="s">
        <v>5351</v>
      </c>
      <c r="T65" s="43" t="s">
        <v>5319</v>
      </c>
      <c r="U65" s="43" t="s">
        <v>5320</v>
      </c>
      <c r="V65" s="43" t="s">
        <v>5321</v>
      </c>
      <c r="W65" s="43" t="s">
        <v>5322</v>
      </c>
      <c r="X65" s="43" t="s">
        <v>5323</v>
      </c>
      <c r="Y65" s="43" t="s">
        <v>5324</v>
      </c>
      <c r="Z65" s="43" t="s">
        <v>5706</v>
      </c>
      <c r="AA65" s="43" t="s">
        <v>5707</v>
      </c>
      <c r="AB65" s="43"/>
      <c r="AC65" s="43" t="s">
        <v>5708</v>
      </c>
      <c r="AD65" s="43" t="s">
        <v>5709</v>
      </c>
      <c r="AE65" s="43" t="s">
        <v>5324</v>
      </c>
    </row>
    <row r="66" ht="16.8" spans="1:31">
      <c r="A66" s="43" t="s">
        <v>5309</v>
      </c>
      <c r="B66" s="44">
        <v>46231</v>
      </c>
      <c r="C66" s="43" t="s">
        <v>5310</v>
      </c>
      <c r="D66" s="45">
        <v>46231.4990281019</v>
      </c>
      <c r="E66" s="43" t="s">
        <v>5710</v>
      </c>
      <c r="F66" s="43" t="s">
        <v>5312</v>
      </c>
      <c r="G66" s="43" t="s">
        <v>5711</v>
      </c>
      <c r="H66" s="43"/>
      <c r="I66" s="46">
        <v>2.66</v>
      </c>
      <c r="J66" s="46">
        <v>0</v>
      </c>
      <c r="K66" s="46">
        <v>2.66</v>
      </c>
      <c r="L66" s="43" t="s">
        <v>5314</v>
      </c>
      <c r="M66" s="46">
        <v>0</v>
      </c>
      <c r="N66" s="43"/>
      <c r="O66" s="43" t="s">
        <v>5315</v>
      </c>
      <c r="P66" s="43" t="s">
        <v>5316</v>
      </c>
      <c r="Q66" s="47">
        <v>1</v>
      </c>
      <c r="R66" s="43" t="s">
        <v>5317</v>
      </c>
      <c r="S66" s="43" t="s">
        <v>5351</v>
      </c>
      <c r="T66" s="43" t="s">
        <v>5319</v>
      </c>
      <c r="U66" s="43" t="s">
        <v>5320</v>
      </c>
      <c r="V66" s="43" t="s">
        <v>5321</v>
      </c>
      <c r="W66" s="43" t="s">
        <v>5322</v>
      </c>
      <c r="X66" s="43" t="s">
        <v>5323</v>
      </c>
      <c r="Y66" s="43" t="s">
        <v>5324</v>
      </c>
      <c r="Z66" s="43" t="s">
        <v>5712</v>
      </c>
      <c r="AA66" s="43" t="s">
        <v>5713</v>
      </c>
      <c r="AB66" s="43"/>
      <c r="AC66" s="43" t="s">
        <v>5714</v>
      </c>
      <c r="AD66" s="43" t="s">
        <v>5715</v>
      </c>
      <c r="AE66" s="43" t="s">
        <v>5324</v>
      </c>
    </row>
    <row r="67" ht="16.8" spans="1:31">
      <c r="A67" s="43" t="s">
        <v>5309</v>
      </c>
      <c r="B67" s="44">
        <v>46231</v>
      </c>
      <c r="C67" s="43" t="s">
        <v>5310</v>
      </c>
      <c r="D67" s="45">
        <v>46231.4999531829</v>
      </c>
      <c r="E67" s="43" t="s">
        <v>5716</v>
      </c>
      <c r="F67" s="43" t="s">
        <v>5312</v>
      </c>
      <c r="G67" s="43" t="s">
        <v>5717</v>
      </c>
      <c r="H67" s="43"/>
      <c r="I67" s="46">
        <v>2.66</v>
      </c>
      <c r="J67" s="46">
        <v>0</v>
      </c>
      <c r="K67" s="46">
        <v>2.66</v>
      </c>
      <c r="L67" s="43" t="s">
        <v>5314</v>
      </c>
      <c r="M67" s="46">
        <v>0</v>
      </c>
      <c r="N67" s="43"/>
      <c r="O67" s="43" t="s">
        <v>5315</v>
      </c>
      <c r="P67" s="43" t="s">
        <v>5316</v>
      </c>
      <c r="Q67" s="47">
        <v>1</v>
      </c>
      <c r="R67" s="43" t="s">
        <v>5317</v>
      </c>
      <c r="S67" s="43" t="s">
        <v>5351</v>
      </c>
      <c r="T67" s="43" t="s">
        <v>5319</v>
      </c>
      <c r="U67" s="43" t="s">
        <v>5320</v>
      </c>
      <c r="V67" s="43" t="s">
        <v>5321</v>
      </c>
      <c r="W67" s="43" t="s">
        <v>5322</v>
      </c>
      <c r="X67" s="43" t="s">
        <v>5323</v>
      </c>
      <c r="Y67" s="43" t="s">
        <v>5324</v>
      </c>
      <c r="Z67" s="43" t="s">
        <v>5718</v>
      </c>
      <c r="AA67" s="43" t="s">
        <v>5719</v>
      </c>
      <c r="AB67" s="43"/>
      <c r="AC67" s="43" t="s">
        <v>5720</v>
      </c>
      <c r="AD67" s="43" t="s">
        <v>5721</v>
      </c>
      <c r="AE67" s="43" t="s">
        <v>5324</v>
      </c>
    </row>
    <row r="68" ht="16.8" spans="1:31">
      <c r="A68" s="43" t="s">
        <v>5309</v>
      </c>
      <c r="B68" s="44">
        <v>46231</v>
      </c>
      <c r="C68" s="43" t="s">
        <v>5310</v>
      </c>
      <c r="D68" s="45">
        <v>46231.5012465046</v>
      </c>
      <c r="E68" s="43" t="s">
        <v>5722</v>
      </c>
      <c r="F68" s="43" t="s">
        <v>5312</v>
      </c>
      <c r="G68" s="43" t="s">
        <v>5723</v>
      </c>
      <c r="H68" s="43"/>
      <c r="I68" s="46">
        <v>1.8</v>
      </c>
      <c r="J68" s="46">
        <v>0</v>
      </c>
      <c r="K68" s="46">
        <v>1.8</v>
      </c>
      <c r="L68" s="43" t="s">
        <v>5314</v>
      </c>
      <c r="M68" s="46">
        <v>0</v>
      </c>
      <c r="N68" s="43"/>
      <c r="O68" s="43" t="s">
        <v>5315</v>
      </c>
      <c r="P68" s="43" t="s">
        <v>5316</v>
      </c>
      <c r="Q68" s="47">
        <v>1</v>
      </c>
      <c r="R68" s="43" t="s">
        <v>5317</v>
      </c>
      <c r="S68" s="43" t="s">
        <v>5724</v>
      </c>
      <c r="T68" s="43" t="s">
        <v>5319</v>
      </c>
      <c r="U68" s="43" t="s">
        <v>5320</v>
      </c>
      <c r="V68" s="43" t="s">
        <v>5321</v>
      </c>
      <c r="W68" s="43" t="s">
        <v>5322</v>
      </c>
      <c r="X68" s="43" t="s">
        <v>5323</v>
      </c>
      <c r="Y68" s="43" t="s">
        <v>5324</v>
      </c>
      <c r="Z68" s="43" t="s">
        <v>5725</v>
      </c>
      <c r="AA68" s="43" t="s">
        <v>5726</v>
      </c>
      <c r="AB68" s="43"/>
      <c r="AC68" s="43" t="s">
        <v>5727</v>
      </c>
      <c r="AD68" s="43" t="s">
        <v>5650</v>
      </c>
      <c r="AE68" s="43" t="s">
        <v>5324</v>
      </c>
    </row>
    <row r="69" ht="16.8" spans="1:31">
      <c r="A69" s="43" t="s">
        <v>5309</v>
      </c>
      <c r="B69" s="44">
        <v>46231</v>
      </c>
      <c r="C69" s="43" t="s">
        <v>5310</v>
      </c>
      <c r="D69" s="45">
        <v>46231.5021249769</v>
      </c>
      <c r="E69" s="43" t="s">
        <v>5728</v>
      </c>
      <c r="F69" s="43" t="s">
        <v>5312</v>
      </c>
      <c r="G69" s="43" t="s">
        <v>5729</v>
      </c>
      <c r="H69" s="43"/>
      <c r="I69" s="46">
        <v>2.66</v>
      </c>
      <c r="J69" s="46">
        <v>0</v>
      </c>
      <c r="K69" s="46">
        <v>2.66</v>
      </c>
      <c r="L69" s="43" t="s">
        <v>5314</v>
      </c>
      <c r="M69" s="46">
        <v>0</v>
      </c>
      <c r="N69" s="43"/>
      <c r="O69" s="43" t="s">
        <v>5315</v>
      </c>
      <c r="P69" s="43" t="s">
        <v>5316</v>
      </c>
      <c r="Q69" s="47">
        <v>1</v>
      </c>
      <c r="R69" s="43" t="s">
        <v>5317</v>
      </c>
      <c r="S69" s="43" t="s">
        <v>5351</v>
      </c>
      <c r="T69" s="43" t="s">
        <v>5319</v>
      </c>
      <c r="U69" s="43" t="s">
        <v>5320</v>
      </c>
      <c r="V69" s="43" t="s">
        <v>5321</v>
      </c>
      <c r="W69" s="43" t="s">
        <v>5322</v>
      </c>
      <c r="X69" s="43" t="s">
        <v>5323</v>
      </c>
      <c r="Y69" s="43" t="s">
        <v>5324</v>
      </c>
      <c r="Z69" s="43" t="s">
        <v>5730</v>
      </c>
      <c r="AA69" s="43" t="s">
        <v>5731</v>
      </c>
      <c r="AB69" s="43"/>
      <c r="AC69" s="43" t="s">
        <v>5732</v>
      </c>
      <c r="AD69" s="43" t="s">
        <v>5733</v>
      </c>
      <c r="AE69" s="43" t="s">
        <v>5324</v>
      </c>
    </row>
    <row r="70" ht="16.8" spans="1:31">
      <c r="A70" s="43" t="s">
        <v>5309</v>
      </c>
      <c r="B70" s="44">
        <v>46231</v>
      </c>
      <c r="C70" s="43" t="s">
        <v>5310</v>
      </c>
      <c r="D70" s="45">
        <v>46231.5032855208</v>
      </c>
      <c r="E70" s="43" t="s">
        <v>5734</v>
      </c>
      <c r="F70" s="43" t="s">
        <v>5312</v>
      </c>
      <c r="G70" s="43" t="s">
        <v>5735</v>
      </c>
      <c r="H70" s="43"/>
      <c r="I70" s="46">
        <v>2.66</v>
      </c>
      <c r="J70" s="46">
        <v>0</v>
      </c>
      <c r="K70" s="46">
        <v>2.66</v>
      </c>
      <c r="L70" s="43" t="s">
        <v>5314</v>
      </c>
      <c r="M70" s="46">
        <v>0</v>
      </c>
      <c r="N70" s="43"/>
      <c r="O70" s="43" t="s">
        <v>5315</v>
      </c>
      <c r="P70" s="43" t="s">
        <v>5316</v>
      </c>
      <c r="Q70" s="47">
        <v>1</v>
      </c>
      <c r="R70" s="43" t="s">
        <v>5317</v>
      </c>
      <c r="S70" s="43" t="s">
        <v>5351</v>
      </c>
      <c r="T70" s="43" t="s">
        <v>5319</v>
      </c>
      <c r="U70" s="43" t="s">
        <v>5320</v>
      </c>
      <c r="V70" s="43" t="s">
        <v>5321</v>
      </c>
      <c r="W70" s="43" t="s">
        <v>5322</v>
      </c>
      <c r="X70" s="43" t="s">
        <v>5323</v>
      </c>
      <c r="Y70" s="43" t="s">
        <v>5324</v>
      </c>
      <c r="Z70" s="43" t="s">
        <v>5736</v>
      </c>
      <c r="AA70" s="43" t="s">
        <v>5737</v>
      </c>
      <c r="AB70" s="43"/>
      <c r="AC70" s="43" t="s">
        <v>5738</v>
      </c>
      <c r="AD70" s="43" t="s">
        <v>5739</v>
      </c>
      <c r="AE70" s="43" t="s">
        <v>5324</v>
      </c>
    </row>
    <row r="71" ht="16.8" spans="1:31">
      <c r="A71" s="43" t="s">
        <v>5309</v>
      </c>
      <c r="B71" s="44">
        <v>46231</v>
      </c>
      <c r="C71" s="43" t="s">
        <v>5310</v>
      </c>
      <c r="D71" s="45">
        <v>46231.5046713889</v>
      </c>
      <c r="E71" s="43" t="s">
        <v>5740</v>
      </c>
      <c r="F71" s="43" t="s">
        <v>5312</v>
      </c>
      <c r="G71" s="43" t="s">
        <v>5741</v>
      </c>
      <c r="H71" s="43"/>
      <c r="I71" s="46">
        <v>2.66</v>
      </c>
      <c r="J71" s="46">
        <v>0</v>
      </c>
      <c r="K71" s="46">
        <v>2.66</v>
      </c>
      <c r="L71" s="43" t="s">
        <v>5314</v>
      </c>
      <c r="M71" s="46">
        <v>0</v>
      </c>
      <c r="N71" s="43"/>
      <c r="O71" s="43" t="s">
        <v>5315</v>
      </c>
      <c r="P71" s="43" t="s">
        <v>5316</v>
      </c>
      <c r="Q71" s="47">
        <v>1</v>
      </c>
      <c r="R71" s="43" t="s">
        <v>5317</v>
      </c>
      <c r="S71" s="43" t="s">
        <v>5382</v>
      </c>
      <c r="T71" s="43" t="s">
        <v>5319</v>
      </c>
      <c r="U71" s="43" t="s">
        <v>5320</v>
      </c>
      <c r="V71" s="43" t="s">
        <v>5321</v>
      </c>
      <c r="W71" s="43" t="s">
        <v>5322</v>
      </c>
      <c r="X71" s="43" t="s">
        <v>5323</v>
      </c>
      <c r="Y71" s="43" t="s">
        <v>5324</v>
      </c>
      <c r="Z71" s="43" t="s">
        <v>5742</v>
      </c>
      <c r="AA71" s="43" t="s">
        <v>5743</v>
      </c>
      <c r="AB71" s="43"/>
      <c r="AC71" s="43" t="s">
        <v>5744</v>
      </c>
      <c r="AD71" s="43" t="s">
        <v>5745</v>
      </c>
      <c r="AE71" s="43" t="s">
        <v>5324</v>
      </c>
    </row>
    <row r="72" ht="16.8" spans="1:31">
      <c r="A72" s="43" t="s">
        <v>5309</v>
      </c>
      <c r="B72" s="44">
        <v>46231</v>
      </c>
      <c r="C72" s="43" t="s">
        <v>5310</v>
      </c>
      <c r="D72" s="45">
        <v>46231.505529375</v>
      </c>
      <c r="E72" s="43" t="s">
        <v>5746</v>
      </c>
      <c r="F72" s="43" t="s">
        <v>5312</v>
      </c>
      <c r="G72" s="43" t="s">
        <v>5747</v>
      </c>
      <c r="H72" s="43"/>
      <c r="I72" s="46">
        <v>2.66</v>
      </c>
      <c r="J72" s="46">
        <v>0</v>
      </c>
      <c r="K72" s="46">
        <v>2.66</v>
      </c>
      <c r="L72" s="43" t="s">
        <v>5314</v>
      </c>
      <c r="M72" s="46">
        <v>0</v>
      </c>
      <c r="N72" s="43"/>
      <c r="O72" s="43" t="s">
        <v>5315</v>
      </c>
      <c r="P72" s="43" t="s">
        <v>5316</v>
      </c>
      <c r="Q72" s="47">
        <v>1</v>
      </c>
      <c r="R72" s="43" t="s">
        <v>5317</v>
      </c>
      <c r="S72" s="43" t="s">
        <v>5351</v>
      </c>
      <c r="T72" s="43" t="s">
        <v>5319</v>
      </c>
      <c r="U72" s="43" t="s">
        <v>5320</v>
      </c>
      <c r="V72" s="43" t="s">
        <v>5321</v>
      </c>
      <c r="W72" s="43" t="s">
        <v>5322</v>
      </c>
      <c r="X72" s="43" t="s">
        <v>5323</v>
      </c>
      <c r="Y72" s="43" t="s">
        <v>5324</v>
      </c>
      <c r="Z72" s="43" t="s">
        <v>5748</v>
      </c>
      <c r="AA72" s="43" t="s">
        <v>5749</v>
      </c>
      <c r="AB72" s="43"/>
      <c r="AC72" s="43" t="s">
        <v>5750</v>
      </c>
      <c r="AD72" s="43" t="s">
        <v>5751</v>
      </c>
      <c r="AE72" s="43" t="s">
        <v>5324</v>
      </c>
    </row>
    <row r="73" ht="16.8" spans="1:31">
      <c r="A73" s="43" t="s">
        <v>5309</v>
      </c>
      <c r="B73" s="44">
        <v>46231</v>
      </c>
      <c r="C73" s="43" t="s">
        <v>5310</v>
      </c>
      <c r="D73" s="45">
        <v>46231.506902338</v>
      </c>
      <c r="E73" s="43" t="s">
        <v>5752</v>
      </c>
      <c r="F73" s="43" t="s">
        <v>5312</v>
      </c>
      <c r="G73" s="43" t="s">
        <v>5753</v>
      </c>
      <c r="H73" s="43"/>
      <c r="I73" s="46">
        <v>3.64</v>
      </c>
      <c r="J73" s="46">
        <v>0</v>
      </c>
      <c r="K73" s="46">
        <v>3.64</v>
      </c>
      <c r="L73" s="43" t="s">
        <v>5314</v>
      </c>
      <c r="M73" s="46">
        <v>0</v>
      </c>
      <c r="N73" s="43"/>
      <c r="O73" s="43" t="s">
        <v>5315</v>
      </c>
      <c r="P73" s="43" t="s">
        <v>5316</v>
      </c>
      <c r="Q73" s="47">
        <v>1</v>
      </c>
      <c r="R73" s="43" t="s">
        <v>5317</v>
      </c>
      <c r="S73" s="43" t="s">
        <v>5382</v>
      </c>
      <c r="T73" s="43" t="s">
        <v>5319</v>
      </c>
      <c r="U73" s="43" t="s">
        <v>5320</v>
      </c>
      <c r="V73" s="43" t="s">
        <v>5321</v>
      </c>
      <c r="W73" s="43" t="s">
        <v>5322</v>
      </c>
      <c r="X73" s="43" t="s">
        <v>5323</v>
      </c>
      <c r="Y73" s="43" t="s">
        <v>5324</v>
      </c>
      <c r="Z73" s="43" t="s">
        <v>5754</v>
      </c>
      <c r="AA73" s="43" t="s">
        <v>5755</v>
      </c>
      <c r="AB73" s="43"/>
      <c r="AC73" s="43" t="s">
        <v>5756</v>
      </c>
      <c r="AD73" s="43" t="s">
        <v>5757</v>
      </c>
      <c r="AE73" s="43" t="s">
        <v>5324</v>
      </c>
    </row>
    <row r="74" ht="16.8" spans="1:31">
      <c r="A74" s="43" t="s">
        <v>5309</v>
      </c>
      <c r="B74" s="44">
        <v>46231</v>
      </c>
      <c r="C74" s="43" t="s">
        <v>5310</v>
      </c>
      <c r="D74" s="45">
        <v>46231.5078581597</v>
      </c>
      <c r="E74" s="43" t="s">
        <v>5758</v>
      </c>
      <c r="F74" s="43" t="s">
        <v>5312</v>
      </c>
      <c r="G74" s="43" t="s">
        <v>5759</v>
      </c>
      <c r="H74" s="43"/>
      <c r="I74" s="46">
        <v>2.66</v>
      </c>
      <c r="J74" s="46">
        <v>0</v>
      </c>
      <c r="K74" s="46">
        <v>2.66</v>
      </c>
      <c r="L74" s="43" t="s">
        <v>5314</v>
      </c>
      <c r="M74" s="46">
        <v>0</v>
      </c>
      <c r="N74" s="43"/>
      <c r="O74" s="43" t="s">
        <v>5315</v>
      </c>
      <c r="P74" s="43" t="s">
        <v>5316</v>
      </c>
      <c r="Q74" s="47">
        <v>1</v>
      </c>
      <c r="R74" s="43" t="s">
        <v>5317</v>
      </c>
      <c r="S74" s="43" t="s">
        <v>5351</v>
      </c>
      <c r="T74" s="43" t="s">
        <v>5319</v>
      </c>
      <c r="U74" s="43" t="s">
        <v>5320</v>
      </c>
      <c r="V74" s="43" t="s">
        <v>5321</v>
      </c>
      <c r="W74" s="43" t="s">
        <v>5322</v>
      </c>
      <c r="X74" s="43" t="s">
        <v>5323</v>
      </c>
      <c r="Y74" s="43" t="s">
        <v>5324</v>
      </c>
      <c r="Z74" s="43" t="s">
        <v>5760</v>
      </c>
      <c r="AA74" s="43" t="s">
        <v>5761</v>
      </c>
      <c r="AB74" s="43"/>
      <c r="AC74" s="43" t="s">
        <v>5762</v>
      </c>
      <c r="AD74" s="43" t="s">
        <v>5763</v>
      </c>
      <c r="AE74" s="43" t="s">
        <v>5324</v>
      </c>
    </row>
    <row r="75" ht="16.8" spans="1:31">
      <c r="A75" s="43" t="s">
        <v>5309</v>
      </c>
      <c r="B75" s="44">
        <v>46231</v>
      </c>
      <c r="C75" s="43" t="s">
        <v>5310</v>
      </c>
      <c r="D75" s="45">
        <v>46231.509509838</v>
      </c>
      <c r="E75" s="43" t="s">
        <v>5764</v>
      </c>
      <c r="F75" s="43" t="s">
        <v>5312</v>
      </c>
      <c r="G75" s="43" t="s">
        <v>5765</v>
      </c>
      <c r="H75" s="43"/>
      <c r="I75" s="46">
        <v>2.66</v>
      </c>
      <c r="J75" s="46">
        <v>0</v>
      </c>
      <c r="K75" s="46">
        <v>2.66</v>
      </c>
      <c r="L75" s="43" t="s">
        <v>5314</v>
      </c>
      <c r="M75" s="46">
        <v>0</v>
      </c>
      <c r="N75" s="43"/>
      <c r="O75" s="43" t="s">
        <v>5315</v>
      </c>
      <c r="P75" s="43" t="s">
        <v>5316</v>
      </c>
      <c r="Q75" s="47">
        <v>1</v>
      </c>
      <c r="R75" s="43" t="s">
        <v>5317</v>
      </c>
      <c r="S75" s="43" t="s">
        <v>5382</v>
      </c>
      <c r="T75" s="43" t="s">
        <v>5319</v>
      </c>
      <c r="U75" s="43" t="s">
        <v>5320</v>
      </c>
      <c r="V75" s="43" t="s">
        <v>5321</v>
      </c>
      <c r="W75" s="43" t="s">
        <v>5322</v>
      </c>
      <c r="X75" s="43" t="s">
        <v>5323</v>
      </c>
      <c r="Y75" s="43" t="s">
        <v>5324</v>
      </c>
      <c r="Z75" s="43" t="s">
        <v>5766</v>
      </c>
      <c r="AA75" s="43" t="s">
        <v>5767</v>
      </c>
      <c r="AB75" s="43"/>
      <c r="AC75" s="43" t="s">
        <v>5768</v>
      </c>
      <c r="AD75" s="43" t="s">
        <v>5769</v>
      </c>
      <c r="AE75" s="43" t="s">
        <v>5324</v>
      </c>
    </row>
    <row r="76" ht="16.8" spans="1:31">
      <c r="A76" s="43" t="s">
        <v>5309</v>
      </c>
      <c r="B76" s="44">
        <v>46231</v>
      </c>
      <c r="C76" s="43" t="s">
        <v>5310</v>
      </c>
      <c r="D76" s="45">
        <v>46231.5103850463</v>
      </c>
      <c r="E76" s="43" t="s">
        <v>5770</v>
      </c>
      <c r="F76" s="43" t="s">
        <v>5312</v>
      </c>
      <c r="G76" s="43" t="s">
        <v>5771</v>
      </c>
      <c r="H76" s="43"/>
      <c r="I76" s="46">
        <v>2.66</v>
      </c>
      <c r="J76" s="46">
        <v>0</v>
      </c>
      <c r="K76" s="46">
        <v>2.66</v>
      </c>
      <c r="L76" s="43" t="s">
        <v>5314</v>
      </c>
      <c r="M76" s="46">
        <v>0</v>
      </c>
      <c r="N76" s="43"/>
      <c r="O76" s="43" t="s">
        <v>5315</v>
      </c>
      <c r="P76" s="43" t="s">
        <v>5316</v>
      </c>
      <c r="Q76" s="47">
        <v>1</v>
      </c>
      <c r="R76" s="43" t="s">
        <v>5317</v>
      </c>
      <c r="S76" s="43" t="s">
        <v>5351</v>
      </c>
      <c r="T76" s="43" t="s">
        <v>5319</v>
      </c>
      <c r="U76" s="43" t="s">
        <v>5320</v>
      </c>
      <c r="V76" s="43" t="s">
        <v>5321</v>
      </c>
      <c r="W76" s="43" t="s">
        <v>5322</v>
      </c>
      <c r="X76" s="43" t="s">
        <v>5323</v>
      </c>
      <c r="Y76" s="43" t="s">
        <v>5324</v>
      </c>
      <c r="Z76" s="43" t="s">
        <v>5772</v>
      </c>
      <c r="AA76" s="43" t="s">
        <v>5773</v>
      </c>
      <c r="AB76" s="43"/>
      <c r="AC76" s="43" t="s">
        <v>5774</v>
      </c>
      <c r="AD76" s="43" t="s">
        <v>5775</v>
      </c>
      <c r="AE76" s="43" t="s">
        <v>5324</v>
      </c>
    </row>
    <row r="77" ht="16.8" spans="1:31">
      <c r="A77" s="43" t="s">
        <v>5309</v>
      </c>
      <c r="B77" s="44">
        <v>46231</v>
      </c>
      <c r="C77" s="43" t="s">
        <v>5310</v>
      </c>
      <c r="D77" s="45">
        <v>46231.5113090972</v>
      </c>
      <c r="E77" s="43" t="s">
        <v>5776</v>
      </c>
      <c r="F77" s="43" t="s">
        <v>5312</v>
      </c>
      <c r="G77" s="43" t="s">
        <v>5777</v>
      </c>
      <c r="H77" s="43"/>
      <c r="I77" s="46">
        <v>3.64</v>
      </c>
      <c r="J77" s="46">
        <v>0</v>
      </c>
      <c r="K77" s="46">
        <v>3.64</v>
      </c>
      <c r="L77" s="43" t="s">
        <v>5314</v>
      </c>
      <c r="M77" s="46">
        <v>0</v>
      </c>
      <c r="N77" s="43"/>
      <c r="O77" s="43" t="s">
        <v>5315</v>
      </c>
      <c r="P77" s="43" t="s">
        <v>5316</v>
      </c>
      <c r="Q77" s="47">
        <v>1</v>
      </c>
      <c r="R77" s="43" t="s">
        <v>5317</v>
      </c>
      <c r="S77" s="43" t="s">
        <v>5382</v>
      </c>
      <c r="T77" s="43" t="s">
        <v>5319</v>
      </c>
      <c r="U77" s="43" t="s">
        <v>5320</v>
      </c>
      <c r="V77" s="43" t="s">
        <v>5321</v>
      </c>
      <c r="W77" s="43" t="s">
        <v>5322</v>
      </c>
      <c r="X77" s="43" t="s">
        <v>5323</v>
      </c>
      <c r="Y77" s="43" t="s">
        <v>5324</v>
      </c>
      <c r="Z77" s="43" t="s">
        <v>5778</v>
      </c>
      <c r="AA77" s="43" t="s">
        <v>5683</v>
      </c>
      <c r="AB77" s="43"/>
      <c r="AC77" s="43" t="s">
        <v>5779</v>
      </c>
      <c r="AD77" s="43" t="s">
        <v>5780</v>
      </c>
      <c r="AE77" s="43" t="s">
        <v>5324</v>
      </c>
    </row>
    <row r="78" ht="16.8" spans="1:31">
      <c r="A78" s="43" t="s">
        <v>5309</v>
      </c>
      <c r="B78" s="44">
        <v>46231</v>
      </c>
      <c r="C78" s="43" t="s">
        <v>5310</v>
      </c>
      <c r="D78" s="45">
        <v>46231.512165</v>
      </c>
      <c r="E78" s="43" t="s">
        <v>5781</v>
      </c>
      <c r="F78" s="43" t="s">
        <v>5312</v>
      </c>
      <c r="G78" s="43" t="s">
        <v>5782</v>
      </c>
      <c r="H78" s="43"/>
      <c r="I78" s="46">
        <v>3.64</v>
      </c>
      <c r="J78" s="46">
        <v>0</v>
      </c>
      <c r="K78" s="46">
        <v>3.64</v>
      </c>
      <c r="L78" s="43" t="s">
        <v>5314</v>
      </c>
      <c r="M78" s="46">
        <v>0</v>
      </c>
      <c r="N78" s="43"/>
      <c r="O78" s="43" t="s">
        <v>5315</v>
      </c>
      <c r="P78" s="43" t="s">
        <v>5316</v>
      </c>
      <c r="Q78" s="47">
        <v>1</v>
      </c>
      <c r="R78" s="43" t="s">
        <v>5317</v>
      </c>
      <c r="S78" s="43" t="s">
        <v>5351</v>
      </c>
      <c r="T78" s="43" t="s">
        <v>5319</v>
      </c>
      <c r="U78" s="43" t="s">
        <v>5320</v>
      </c>
      <c r="V78" s="43" t="s">
        <v>5321</v>
      </c>
      <c r="W78" s="43" t="s">
        <v>5322</v>
      </c>
      <c r="X78" s="43" t="s">
        <v>5323</v>
      </c>
      <c r="Y78" s="43" t="s">
        <v>5324</v>
      </c>
      <c r="Z78" s="43" t="s">
        <v>5783</v>
      </c>
      <c r="AA78" s="43" t="s">
        <v>5784</v>
      </c>
      <c r="AB78" s="43"/>
      <c r="AC78" s="43" t="s">
        <v>5785</v>
      </c>
      <c r="AD78" s="43" t="s">
        <v>5786</v>
      </c>
      <c r="AE78" s="43" t="s">
        <v>5324</v>
      </c>
    </row>
    <row r="79" ht="16.8" spans="1:31">
      <c r="A79" s="43" t="s">
        <v>5309</v>
      </c>
      <c r="B79" s="44">
        <v>46231</v>
      </c>
      <c r="C79" s="43" t="s">
        <v>5310</v>
      </c>
      <c r="D79" s="45">
        <v>46231.5131342361</v>
      </c>
      <c r="E79" s="43" t="s">
        <v>5787</v>
      </c>
      <c r="F79" s="43" t="s">
        <v>5312</v>
      </c>
      <c r="G79" s="43" t="s">
        <v>5788</v>
      </c>
      <c r="H79" s="43"/>
      <c r="I79" s="46">
        <v>3.64</v>
      </c>
      <c r="J79" s="46">
        <v>0</v>
      </c>
      <c r="K79" s="46">
        <v>3.64</v>
      </c>
      <c r="L79" s="43" t="s">
        <v>5314</v>
      </c>
      <c r="M79" s="46">
        <v>0</v>
      </c>
      <c r="N79" s="43"/>
      <c r="O79" s="43" t="s">
        <v>5315</v>
      </c>
      <c r="P79" s="43" t="s">
        <v>5316</v>
      </c>
      <c r="Q79" s="47">
        <v>1</v>
      </c>
      <c r="R79" s="43" t="s">
        <v>5317</v>
      </c>
      <c r="S79" s="43" t="s">
        <v>5351</v>
      </c>
      <c r="T79" s="43" t="s">
        <v>5319</v>
      </c>
      <c r="U79" s="43" t="s">
        <v>5320</v>
      </c>
      <c r="V79" s="43" t="s">
        <v>5321</v>
      </c>
      <c r="W79" s="43" t="s">
        <v>5322</v>
      </c>
      <c r="X79" s="43" t="s">
        <v>5323</v>
      </c>
      <c r="Y79" s="43" t="s">
        <v>5324</v>
      </c>
      <c r="Z79" s="43" t="s">
        <v>5789</v>
      </c>
      <c r="AA79" s="43" t="s">
        <v>5790</v>
      </c>
      <c r="AB79" s="43"/>
      <c r="AC79" s="43" t="s">
        <v>5791</v>
      </c>
      <c r="AD79" s="43" t="s">
        <v>5792</v>
      </c>
      <c r="AE79" s="43" t="s">
        <v>5324</v>
      </c>
    </row>
    <row r="80" ht="16.8" spans="1:31">
      <c r="A80" s="43" t="s">
        <v>5309</v>
      </c>
      <c r="B80" s="44">
        <v>46231</v>
      </c>
      <c r="C80" s="43" t="s">
        <v>5310</v>
      </c>
      <c r="D80" s="45">
        <v>46231.5141118287</v>
      </c>
      <c r="E80" s="43" t="s">
        <v>5793</v>
      </c>
      <c r="F80" s="43" t="s">
        <v>5312</v>
      </c>
      <c r="G80" s="43" t="s">
        <v>5794</v>
      </c>
      <c r="H80" s="43"/>
      <c r="I80" s="46">
        <v>3.64</v>
      </c>
      <c r="J80" s="46">
        <v>0</v>
      </c>
      <c r="K80" s="46">
        <v>3.64</v>
      </c>
      <c r="L80" s="43" t="s">
        <v>5314</v>
      </c>
      <c r="M80" s="46">
        <v>0</v>
      </c>
      <c r="N80" s="43"/>
      <c r="O80" s="43" t="s">
        <v>5315</v>
      </c>
      <c r="P80" s="43" t="s">
        <v>5316</v>
      </c>
      <c r="Q80" s="47">
        <v>1</v>
      </c>
      <c r="R80" s="43" t="s">
        <v>5317</v>
      </c>
      <c r="S80" s="43" t="s">
        <v>5351</v>
      </c>
      <c r="T80" s="43" t="s">
        <v>5319</v>
      </c>
      <c r="U80" s="43" t="s">
        <v>5320</v>
      </c>
      <c r="V80" s="43" t="s">
        <v>5321</v>
      </c>
      <c r="W80" s="43" t="s">
        <v>5322</v>
      </c>
      <c r="X80" s="43" t="s">
        <v>5323</v>
      </c>
      <c r="Y80" s="43" t="s">
        <v>5324</v>
      </c>
      <c r="Z80" s="43" t="s">
        <v>5795</v>
      </c>
      <c r="AA80" s="43" t="s">
        <v>5796</v>
      </c>
      <c r="AB80" s="43"/>
      <c r="AC80" s="43" t="s">
        <v>5797</v>
      </c>
      <c r="AD80" s="43" t="s">
        <v>5798</v>
      </c>
      <c r="AE80" s="43" t="s">
        <v>5324</v>
      </c>
    </row>
    <row r="81" ht="16.8" spans="1:31">
      <c r="A81" s="43" t="s">
        <v>5309</v>
      </c>
      <c r="B81" s="44">
        <v>46231</v>
      </c>
      <c r="C81" s="43" t="s">
        <v>5310</v>
      </c>
      <c r="D81" s="45">
        <v>46231.5151048958</v>
      </c>
      <c r="E81" s="43" t="s">
        <v>5799</v>
      </c>
      <c r="F81" s="43" t="s">
        <v>5312</v>
      </c>
      <c r="G81" s="43" t="s">
        <v>5800</v>
      </c>
      <c r="H81" s="43"/>
      <c r="I81" s="46">
        <v>3.64</v>
      </c>
      <c r="J81" s="46">
        <v>0</v>
      </c>
      <c r="K81" s="46">
        <v>3.64</v>
      </c>
      <c r="L81" s="43" t="s">
        <v>5314</v>
      </c>
      <c r="M81" s="46">
        <v>0</v>
      </c>
      <c r="N81" s="43"/>
      <c r="O81" s="43" t="s">
        <v>5315</v>
      </c>
      <c r="P81" s="43" t="s">
        <v>5316</v>
      </c>
      <c r="Q81" s="47">
        <v>1</v>
      </c>
      <c r="R81" s="43" t="s">
        <v>5317</v>
      </c>
      <c r="S81" s="43" t="s">
        <v>5382</v>
      </c>
      <c r="T81" s="43" t="s">
        <v>5319</v>
      </c>
      <c r="U81" s="43" t="s">
        <v>5320</v>
      </c>
      <c r="V81" s="43" t="s">
        <v>5321</v>
      </c>
      <c r="W81" s="43" t="s">
        <v>5322</v>
      </c>
      <c r="X81" s="43" t="s">
        <v>5323</v>
      </c>
      <c r="Y81" s="43" t="s">
        <v>5324</v>
      </c>
      <c r="Z81" s="43" t="s">
        <v>5801</v>
      </c>
      <c r="AA81" s="43" t="s">
        <v>5559</v>
      </c>
      <c r="AB81" s="43"/>
      <c r="AC81" s="43" t="s">
        <v>5802</v>
      </c>
      <c r="AD81" s="43" t="s">
        <v>5803</v>
      </c>
      <c r="AE81" s="43" t="s">
        <v>5324</v>
      </c>
    </row>
    <row r="82" ht="16.8" spans="1:31">
      <c r="A82" s="43" t="s">
        <v>5309</v>
      </c>
      <c r="B82" s="44">
        <v>46231</v>
      </c>
      <c r="C82" s="43" t="s">
        <v>5310</v>
      </c>
      <c r="D82" s="45">
        <v>46231.5160859954</v>
      </c>
      <c r="E82" s="43" t="s">
        <v>5804</v>
      </c>
      <c r="F82" s="43" t="s">
        <v>5312</v>
      </c>
      <c r="G82" s="43" t="s">
        <v>5598</v>
      </c>
      <c r="H82" s="43"/>
      <c r="I82" s="46">
        <v>1.8</v>
      </c>
      <c r="J82" s="46">
        <v>0</v>
      </c>
      <c r="K82" s="46">
        <v>1.8</v>
      </c>
      <c r="L82" s="43" t="s">
        <v>5314</v>
      </c>
      <c r="M82" s="46">
        <v>0</v>
      </c>
      <c r="N82" s="43"/>
      <c r="O82" s="43" t="s">
        <v>5315</v>
      </c>
      <c r="P82" s="43" t="s">
        <v>5316</v>
      </c>
      <c r="Q82" s="47">
        <v>1</v>
      </c>
      <c r="R82" s="43" t="s">
        <v>5317</v>
      </c>
      <c r="S82" s="43" t="s">
        <v>5502</v>
      </c>
      <c r="T82" s="43" t="s">
        <v>5319</v>
      </c>
      <c r="U82" s="43" t="s">
        <v>5320</v>
      </c>
      <c r="V82" s="43" t="s">
        <v>5321</v>
      </c>
      <c r="W82" s="43" t="s">
        <v>5322</v>
      </c>
      <c r="X82" s="43" t="s">
        <v>5323</v>
      </c>
      <c r="Y82" s="43" t="s">
        <v>5324</v>
      </c>
      <c r="Z82" s="43" t="s">
        <v>5600</v>
      </c>
      <c r="AA82" s="43" t="s">
        <v>5601</v>
      </c>
      <c r="AB82" s="43"/>
      <c r="AC82" s="43" t="s">
        <v>5602</v>
      </c>
      <c r="AD82" s="43" t="s">
        <v>5603</v>
      </c>
      <c r="AE82" s="43" t="s">
        <v>5324</v>
      </c>
    </row>
    <row r="83" s="42" customFormat="1" ht="16.8" spans="1:31">
      <c r="A83" s="48" t="s">
        <v>5309</v>
      </c>
      <c r="B83" s="49">
        <v>46232</v>
      </c>
      <c r="C83" s="48" t="s">
        <v>5310</v>
      </c>
      <c r="D83" s="50">
        <v>46232.5098221296</v>
      </c>
      <c r="E83" s="48" t="s">
        <v>5805</v>
      </c>
      <c r="F83" s="48" t="s">
        <v>5312</v>
      </c>
      <c r="G83" s="48" t="s">
        <v>5806</v>
      </c>
      <c r="H83" s="51"/>
      <c r="I83" s="52">
        <v>0</v>
      </c>
      <c r="J83" s="52">
        <v>0</v>
      </c>
      <c r="K83" s="52">
        <v>2.66</v>
      </c>
      <c r="L83" s="48" t="s">
        <v>5314</v>
      </c>
      <c r="M83" s="52">
        <v>0</v>
      </c>
      <c r="N83" s="51"/>
      <c r="O83" s="48" t="s">
        <v>5315</v>
      </c>
      <c r="P83" s="48" t="s">
        <v>5316</v>
      </c>
      <c r="Q83" s="53">
        <v>1</v>
      </c>
      <c r="R83" s="48" t="s">
        <v>5317</v>
      </c>
      <c r="S83" s="48" t="s">
        <v>5807</v>
      </c>
      <c r="T83" s="48" t="s">
        <v>5319</v>
      </c>
      <c r="U83" s="48" t="s">
        <v>5320</v>
      </c>
      <c r="V83" s="48" t="s">
        <v>5321</v>
      </c>
      <c r="W83" s="48" t="s">
        <v>5322</v>
      </c>
      <c r="X83" s="48" t="s">
        <v>5323</v>
      </c>
      <c r="Y83" s="48" t="s">
        <v>5324</v>
      </c>
      <c r="Z83" s="48" t="s">
        <v>5808</v>
      </c>
      <c r="AA83" s="48" t="s">
        <v>5809</v>
      </c>
      <c r="AB83" s="51"/>
      <c r="AC83" s="48" t="s">
        <v>5810</v>
      </c>
      <c r="AD83" s="48" t="s">
        <v>5811</v>
      </c>
      <c r="AE83" s="48" t="s">
        <v>5324</v>
      </c>
    </row>
    <row r="84" ht="16.8" spans="1:31">
      <c r="A84" s="43" t="s">
        <v>5309</v>
      </c>
      <c r="B84" s="44">
        <v>46232</v>
      </c>
      <c r="C84" s="43" t="s">
        <v>5310</v>
      </c>
      <c r="D84" s="45">
        <v>46232.5117554282</v>
      </c>
      <c r="E84" s="43" t="s">
        <v>5812</v>
      </c>
      <c r="F84" s="43" t="s">
        <v>5312</v>
      </c>
      <c r="G84" s="43" t="s">
        <v>5813</v>
      </c>
      <c r="H84" s="43"/>
      <c r="I84" s="46">
        <v>2.66</v>
      </c>
      <c r="J84" s="46">
        <v>0</v>
      </c>
      <c r="K84" s="46">
        <v>2.66</v>
      </c>
      <c r="L84" s="43" t="s">
        <v>5314</v>
      </c>
      <c r="M84" s="46">
        <v>0</v>
      </c>
      <c r="N84" s="43"/>
      <c r="O84" s="43" t="s">
        <v>5315</v>
      </c>
      <c r="P84" s="43" t="s">
        <v>5316</v>
      </c>
      <c r="Q84" s="47">
        <v>1</v>
      </c>
      <c r="R84" s="43" t="s">
        <v>5317</v>
      </c>
      <c r="S84" s="43" t="s">
        <v>5382</v>
      </c>
      <c r="T84" s="43" t="s">
        <v>5319</v>
      </c>
      <c r="U84" s="43" t="s">
        <v>5320</v>
      </c>
      <c r="V84" s="43" t="s">
        <v>5321</v>
      </c>
      <c r="W84" s="43" t="s">
        <v>5322</v>
      </c>
      <c r="X84" s="43" t="s">
        <v>5323</v>
      </c>
      <c r="Y84" s="43" t="s">
        <v>5324</v>
      </c>
      <c r="Z84" s="43" t="s">
        <v>5814</v>
      </c>
      <c r="AA84" s="43" t="s">
        <v>5815</v>
      </c>
      <c r="AB84" s="43"/>
      <c r="AC84" s="43" t="s">
        <v>5816</v>
      </c>
      <c r="AD84" s="43" t="s">
        <v>5817</v>
      </c>
      <c r="AE84" s="43" t="s">
        <v>5324</v>
      </c>
    </row>
    <row r="85" ht="16.8" spans="1:31">
      <c r="A85" s="43" t="s">
        <v>5309</v>
      </c>
      <c r="B85" s="44">
        <v>46232</v>
      </c>
      <c r="C85" s="43" t="s">
        <v>5310</v>
      </c>
      <c r="D85" s="45">
        <v>46232.5131924306</v>
      </c>
      <c r="E85" s="43" t="s">
        <v>5818</v>
      </c>
      <c r="F85" s="43" t="s">
        <v>5312</v>
      </c>
      <c r="G85" s="43" t="s">
        <v>5819</v>
      </c>
      <c r="H85" s="43"/>
      <c r="I85" s="46">
        <v>2.66</v>
      </c>
      <c r="J85" s="46">
        <v>0</v>
      </c>
      <c r="K85" s="46">
        <v>2.66</v>
      </c>
      <c r="L85" s="43" t="s">
        <v>5314</v>
      </c>
      <c r="M85" s="46">
        <v>0</v>
      </c>
      <c r="N85" s="43"/>
      <c r="O85" s="43" t="s">
        <v>5315</v>
      </c>
      <c r="P85" s="43" t="s">
        <v>5316</v>
      </c>
      <c r="Q85" s="47">
        <v>1</v>
      </c>
      <c r="R85" s="43" t="s">
        <v>5317</v>
      </c>
      <c r="S85" s="43" t="s">
        <v>5489</v>
      </c>
      <c r="T85" s="43" t="s">
        <v>5319</v>
      </c>
      <c r="U85" s="43" t="s">
        <v>5320</v>
      </c>
      <c r="V85" s="43" t="s">
        <v>5321</v>
      </c>
      <c r="W85" s="43" t="s">
        <v>5322</v>
      </c>
      <c r="X85" s="43" t="s">
        <v>5323</v>
      </c>
      <c r="Y85" s="43" t="s">
        <v>5324</v>
      </c>
      <c r="Z85" s="43" t="s">
        <v>5820</v>
      </c>
      <c r="AA85" s="43" t="s">
        <v>5637</v>
      </c>
      <c r="AB85" s="43"/>
      <c r="AC85" s="43" t="s">
        <v>5821</v>
      </c>
      <c r="AD85" s="43" t="s">
        <v>5822</v>
      </c>
      <c r="AE85" s="43" t="s">
        <v>5324</v>
      </c>
    </row>
    <row r="86" ht="16.8" spans="1:31">
      <c r="A86" s="43" t="s">
        <v>5309</v>
      </c>
      <c r="B86" s="44">
        <v>46232</v>
      </c>
      <c r="C86" s="43" t="s">
        <v>5310</v>
      </c>
      <c r="D86" s="45">
        <v>46232.515096875</v>
      </c>
      <c r="E86" s="43" t="s">
        <v>5823</v>
      </c>
      <c r="F86" s="43" t="s">
        <v>5312</v>
      </c>
      <c r="G86" s="43" t="s">
        <v>5824</v>
      </c>
      <c r="H86" s="43"/>
      <c r="I86" s="46">
        <v>2.66</v>
      </c>
      <c r="J86" s="46">
        <v>0</v>
      </c>
      <c r="K86" s="46">
        <v>2.66</v>
      </c>
      <c r="L86" s="43" t="s">
        <v>5314</v>
      </c>
      <c r="M86" s="46">
        <v>0</v>
      </c>
      <c r="N86" s="43"/>
      <c r="O86" s="43" t="s">
        <v>5315</v>
      </c>
      <c r="P86" s="43" t="s">
        <v>5316</v>
      </c>
      <c r="Q86" s="47">
        <v>1</v>
      </c>
      <c r="R86" s="43" t="s">
        <v>5317</v>
      </c>
      <c r="S86" s="43" t="s">
        <v>5489</v>
      </c>
      <c r="T86" s="43" t="s">
        <v>5319</v>
      </c>
      <c r="U86" s="43" t="s">
        <v>5320</v>
      </c>
      <c r="V86" s="43" t="s">
        <v>5321</v>
      </c>
      <c r="W86" s="43" t="s">
        <v>5322</v>
      </c>
      <c r="X86" s="43" t="s">
        <v>5323</v>
      </c>
      <c r="Y86" s="43" t="s">
        <v>5324</v>
      </c>
      <c r="Z86" s="43" t="s">
        <v>5825</v>
      </c>
      <c r="AA86" s="43" t="s">
        <v>5826</v>
      </c>
      <c r="AB86" s="43"/>
      <c r="AC86" s="43" t="s">
        <v>5827</v>
      </c>
      <c r="AD86" s="43" t="s">
        <v>5828</v>
      </c>
      <c r="AE86" s="43" t="s">
        <v>5324</v>
      </c>
    </row>
    <row r="87" s="42" customFormat="1" ht="16.8" spans="1:31">
      <c r="A87" s="48" t="s">
        <v>5309</v>
      </c>
      <c r="B87" s="49">
        <v>46232</v>
      </c>
      <c r="C87" s="48" t="s">
        <v>5310</v>
      </c>
      <c r="D87" s="50">
        <v>46232.5170487731</v>
      </c>
      <c r="E87" s="48" t="s">
        <v>5829</v>
      </c>
      <c r="F87" s="48" t="s">
        <v>5312</v>
      </c>
      <c r="G87" s="48" t="s">
        <v>5830</v>
      </c>
      <c r="H87" s="51"/>
      <c r="I87" s="52">
        <v>0</v>
      </c>
      <c r="J87" s="52">
        <v>0</v>
      </c>
      <c r="K87" s="52">
        <v>3.64</v>
      </c>
      <c r="L87" s="48" t="s">
        <v>5314</v>
      </c>
      <c r="M87" s="52">
        <v>0</v>
      </c>
      <c r="N87" s="51"/>
      <c r="O87" s="48" t="s">
        <v>5315</v>
      </c>
      <c r="P87" s="48" t="s">
        <v>5316</v>
      </c>
      <c r="Q87" s="53">
        <v>1</v>
      </c>
      <c r="R87" s="48" t="s">
        <v>5317</v>
      </c>
      <c r="S87" s="48" t="s">
        <v>5489</v>
      </c>
      <c r="T87" s="48" t="s">
        <v>5319</v>
      </c>
      <c r="U87" s="48" t="s">
        <v>5320</v>
      </c>
      <c r="V87" s="48" t="s">
        <v>5321</v>
      </c>
      <c r="W87" s="48" t="s">
        <v>5322</v>
      </c>
      <c r="X87" s="48" t="s">
        <v>5323</v>
      </c>
      <c r="Y87" s="48" t="s">
        <v>5324</v>
      </c>
      <c r="Z87" s="48" t="s">
        <v>5831</v>
      </c>
      <c r="AA87" s="48" t="s">
        <v>5832</v>
      </c>
      <c r="AB87" s="51"/>
      <c r="AC87" s="48" t="s">
        <v>5833</v>
      </c>
      <c r="AD87" s="48" t="s">
        <v>5834</v>
      </c>
      <c r="AE87" s="48" t="s">
        <v>5324</v>
      </c>
    </row>
    <row r="88" ht="16.8" spans="1:31">
      <c r="A88" s="43" t="s">
        <v>5309</v>
      </c>
      <c r="B88" s="44">
        <v>46232</v>
      </c>
      <c r="C88" s="43" t="s">
        <v>5310</v>
      </c>
      <c r="D88" s="45">
        <v>46232.5184260995</v>
      </c>
      <c r="E88" s="43" t="s">
        <v>5835</v>
      </c>
      <c r="F88" s="43" t="s">
        <v>5312</v>
      </c>
      <c r="G88" s="43" t="s">
        <v>5836</v>
      </c>
      <c r="H88" s="43"/>
      <c r="I88" s="46">
        <v>2.66</v>
      </c>
      <c r="J88" s="46">
        <v>0</v>
      </c>
      <c r="K88" s="46">
        <v>2.66</v>
      </c>
      <c r="L88" s="43" t="s">
        <v>5314</v>
      </c>
      <c r="M88" s="46">
        <v>0</v>
      </c>
      <c r="N88" s="43"/>
      <c r="O88" s="43" t="s">
        <v>5315</v>
      </c>
      <c r="P88" s="43" t="s">
        <v>5316</v>
      </c>
      <c r="Q88" s="47">
        <v>1</v>
      </c>
      <c r="R88" s="43" t="s">
        <v>5317</v>
      </c>
      <c r="S88" s="43" t="s">
        <v>5489</v>
      </c>
      <c r="T88" s="43" t="s">
        <v>5319</v>
      </c>
      <c r="U88" s="43" t="s">
        <v>5320</v>
      </c>
      <c r="V88" s="43" t="s">
        <v>5321</v>
      </c>
      <c r="W88" s="43" t="s">
        <v>5322</v>
      </c>
      <c r="X88" s="43" t="s">
        <v>5323</v>
      </c>
      <c r="Y88" s="43" t="s">
        <v>5324</v>
      </c>
      <c r="Z88" s="43" t="s">
        <v>5419</v>
      </c>
      <c r="AA88" s="43" t="s">
        <v>5689</v>
      </c>
      <c r="AB88" s="43"/>
      <c r="AC88" s="43" t="s">
        <v>5837</v>
      </c>
      <c r="AD88" s="43" t="s">
        <v>5838</v>
      </c>
      <c r="AE88" s="43" t="s">
        <v>5324</v>
      </c>
    </row>
    <row r="89" ht="16.8" spans="1:31">
      <c r="A89" s="43" t="s">
        <v>5309</v>
      </c>
      <c r="B89" s="44">
        <v>46232</v>
      </c>
      <c r="C89" s="43" t="s">
        <v>5310</v>
      </c>
      <c r="D89" s="45">
        <v>46232.5194667014</v>
      </c>
      <c r="E89" s="43" t="s">
        <v>5839</v>
      </c>
      <c r="F89" s="43" t="s">
        <v>5312</v>
      </c>
      <c r="G89" s="43" t="s">
        <v>5840</v>
      </c>
      <c r="H89" s="43"/>
      <c r="I89" s="46">
        <v>2.66</v>
      </c>
      <c r="J89" s="46">
        <v>0</v>
      </c>
      <c r="K89" s="46">
        <v>2.66</v>
      </c>
      <c r="L89" s="43" t="s">
        <v>5314</v>
      </c>
      <c r="M89" s="46">
        <v>0</v>
      </c>
      <c r="N89" s="43"/>
      <c r="O89" s="43" t="s">
        <v>5315</v>
      </c>
      <c r="P89" s="43" t="s">
        <v>5316</v>
      </c>
      <c r="Q89" s="47">
        <v>1</v>
      </c>
      <c r="R89" s="43" t="s">
        <v>5317</v>
      </c>
      <c r="S89" s="43" t="s">
        <v>5489</v>
      </c>
      <c r="T89" s="43" t="s">
        <v>5319</v>
      </c>
      <c r="U89" s="43" t="s">
        <v>5320</v>
      </c>
      <c r="V89" s="43" t="s">
        <v>5321</v>
      </c>
      <c r="W89" s="43" t="s">
        <v>5322</v>
      </c>
      <c r="X89" s="43" t="s">
        <v>5323</v>
      </c>
      <c r="Y89" s="43" t="s">
        <v>5324</v>
      </c>
      <c r="Z89" s="43" t="s">
        <v>5841</v>
      </c>
      <c r="AA89" s="43" t="s">
        <v>5842</v>
      </c>
      <c r="AB89" s="43"/>
      <c r="AC89" s="43" t="s">
        <v>5843</v>
      </c>
      <c r="AD89" s="43" t="s">
        <v>5844</v>
      </c>
      <c r="AE89" s="43" t="s">
        <v>5324</v>
      </c>
    </row>
    <row r="90" ht="16.8" spans="1:31">
      <c r="A90" s="43" t="s">
        <v>5309</v>
      </c>
      <c r="B90" s="44">
        <v>46232</v>
      </c>
      <c r="C90" s="43" t="s">
        <v>5310</v>
      </c>
      <c r="D90" s="45">
        <v>46232.5203891898</v>
      </c>
      <c r="E90" s="43" t="s">
        <v>5845</v>
      </c>
      <c r="F90" s="43" t="s">
        <v>5312</v>
      </c>
      <c r="G90" s="43" t="s">
        <v>5846</v>
      </c>
      <c r="H90" s="43"/>
      <c r="I90" s="46">
        <v>3.64</v>
      </c>
      <c r="J90" s="46">
        <v>0</v>
      </c>
      <c r="K90" s="46">
        <v>3.64</v>
      </c>
      <c r="L90" s="43" t="s">
        <v>5314</v>
      </c>
      <c r="M90" s="46">
        <v>0</v>
      </c>
      <c r="N90" s="43"/>
      <c r="O90" s="43" t="s">
        <v>5315</v>
      </c>
      <c r="P90" s="43" t="s">
        <v>5316</v>
      </c>
      <c r="Q90" s="47">
        <v>1</v>
      </c>
      <c r="R90" s="43" t="s">
        <v>5317</v>
      </c>
      <c r="S90" s="43" t="s">
        <v>5489</v>
      </c>
      <c r="T90" s="43" t="s">
        <v>5319</v>
      </c>
      <c r="U90" s="43" t="s">
        <v>5320</v>
      </c>
      <c r="V90" s="43" t="s">
        <v>5321</v>
      </c>
      <c r="W90" s="43" t="s">
        <v>5322</v>
      </c>
      <c r="X90" s="43" t="s">
        <v>5323</v>
      </c>
      <c r="Y90" s="43" t="s">
        <v>5324</v>
      </c>
      <c r="Z90" s="43" t="s">
        <v>5847</v>
      </c>
      <c r="AA90" s="43" t="s">
        <v>5607</v>
      </c>
      <c r="AB90" s="43"/>
      <c r="AC90" s="43" t="s">
        <v>5848</v>
      </c>
      <c r="AD90" s="43" t="s">
        <v>5849</v>
      </c>
      <c r="AE90" s="43" t="s">
        <v>5324</v>
      </c>
    </row>
    <row r="91" ht="16.8" spans="1:31">
      <c r="A91" s="43" t="s">
        <v>5309</v>
      </c>
      <c r="B91" s="44">
        <v>46232</v>
      </c>
      <c r="C91" s="43" t="s">
        <v>5310</v>
      </c>
      <c r="D91" s="45">
        <v>46232.5214492477</v>
      </c>
      <c r="E91" s="43" t="s">
        <v>5850</v>
      </c>
      <c r="F91" s="43" t="s">
        <v>5312</v>
      </c>
      <c r="G91" s="43" t="s">
        <v>5851</v>
      </c>
      <c r="H91" s="43"/>
      <c r="I91" s="46">
        <v>3.64</v>
      </c>
      <c r="J91" s="46">
        <v>0</v>
      </c>
      <c r="K91" s="46">
        <v>3.64</v>
      </c>
      <c r="L91" s="43" t="s">
        <v>5314</v>
      </c>
      <c r="M91" s="46">
        <v>0</v>
      </c>
      <c r="N91" s="43"/>
      <c r="O91" s="43" t="s">
        <v>5315</v>
      </c>
      <c r="P91" s="43" t="s">
        <v>5316</v>
      </c>
      <c r="Q91" s="47">
        <v>1</v>
      </c>
      <c r="R91" s="43" t="s">
        <v>5317</v>
      </c>
      <c r="S91" s="43" t="s">
        <v>5489</v>
      </c>
      <c r="T91" s="43" t="s">
        <v>5319</v>
      </c>
      <c r="U91" s="43" t="s">
        <v>5320</v>
      </c>
      <c r="V91" s="43" t="s">
        <v>5321</v>
      </c>
      <c r="W91" s="43" t="s">
        <v>5322</v>
      </c>
      <c r="X91" s="43" t="s">
        <v>5323</v>
      </c>
      <c r="Y91" s="43" t="s">
        <v>5324</v>
      </c>
      <c r="Z91" s="43" t="s">
        <v>5852</v>
      </c>
      <c r="AA91" s="43" t="s">
        <v>5853</v>
      </c>
      <c r="AB91" s="43"/>
      <c r="AC91" s="43" t="s">
        <v>5854</v>
      </c>
      <c r="AD91" s="43" t="s">
        <v>5855</v>
      </c>
      <c r="AE91" s="43" t="s">
        <v>5324</v>
      </c>
    </row>
    <row r="92" ht="16.8" spans="1:31">
      <c r="A92" s="43" t="s">
        <v>5309</v>
      </c>
      <c r="B92" s="44">
        <v>46232</v>
      </c>
      <c r="C92" s="43" t="s">
        <v>5310</v>
      </c>
      <c r="D92" s="45">
        <v>46232.5226432176</v>
      </c>
      <c r="E92" s="43" t="s">
        <v>5856</v>
      </c>
      <c r="F92" s="43" t="s">
        <v>5312</v>
      </c>
      <c r="G92" s="43" t="s">
        <v>5857</v>
      </c>
      <c r="H92" s="43"/>
      <c r="I92" s="46">
        <v>2.66</v>
      </c>
      <c r="J92" s="46">
        <v>0</v>
      </c>
      <c r="K92" s="46">
        <v>2.66</v>
      </c>
      <c r="L92" s="43" t="s">
        <v>5314</v>
      </c>
      <c r="M92" s="46">
        <v>0</v>
      </c>
      <c r="N92" s="43"/>
      <c r="O92" s="43" t="s">
        <v>5315</v>
      </c>
      <c r="P92" s="43" t="s">
        <v>5316</v>
      </c>
      <c r="Q92" s="47">
        <v>1</v>
      </c>
      <c r="R92" s="43" t="s">
        <v>5317</v>
      </c>
      <c r="S92" s="43" t="s">
        <v>5489</v>
      </c>
      <c r="T92" s="43" t="s">
        <v>5319</v>
      </c>
      <c r="U92" s="43" t="s">
        <v>5320</v>
      </c>
      <c r="V92" s="43" t="s">
        <v>5321</v>
      </c>
      <c r="W92" s="43" t="s">
        <v>5322</v>
      </c>
      <c r="X92" s="43" t="s">
        <v>5323</v>
      </c>
      <c r="Y92" s="43" t="s">
        <v>5324</v>
      </c>
      <c r="Z92" s="43" t="s">
        <v>5858</v>
      </c>
      <c r="AA92" s="43" t="s">
        <v>5859</v>
      </c>
      <c r="AB92" s="43"/>
      <c r="AC92" s="43" t="s">
        <v>5860</v>
      </c>
      <c r="AD92" s="43" t="s">
        <v>5861</v>
      </c>
      <c r="AE92" s="43" t="s">
        <v>5324</v>
      </c>
    </row>
    <row r="93" ht="16.8" spans="1:31">
      <c r="A93" s="43" t="s">
        <v>5309</v>
      </c>
      <c r="B93" s="44">
        <v>46232</v>
      </c>
      <c r="C93" s="43" t="s">
        <v>5310</v>
      </c>
      <c r="D93" s="45">
        <v>46232.5233579861</v>
      </c>
      <c r="E93" s="43" t="s">
        <v>5862</v>
      </c>
      <c r="F93" s="43" t="s">
        <v>5312</v>
      </c>
      <c r="G93" s="43" t="s">
        <v>5412</v>
      </c>
      <c r="H93" s="43"/>
      <c r="I93" s="46">
        <v>2.66</v>
      </c>
      <c r="J93" s="46">
        <v>0</v>
      </c>
      <c r="K93" s="46">
        <v>2.66</v>
      </c>
      <c r="L93" s="43" t="s">
        <v>5314</v>
      </c>
      <c r="M93" s="46">
        <v>0</v>
      </c>
      <c r="N93" s="43"/>
      <c r="O93" s="43" t="s">
        <v>5315</v>
      </c>
      <c r="P93" s="43" t="s">
        <v>5316</v>
      </c>
      <c r="Q93" s="47">
        <v>1</v>
      </c>
      <c r="R93" s="43" t="s">
        <v>5317</v>
      </c>
      <c r="S93" s="43" t="s">
        <v>5489</v>
      </c>
      <c r="T93" s="43" t="s">
        <v>5319</v>
      </c>
      <c r="U93" s="43" t="s">
        <v>5320</v>
      </c>
      <c r="V93" s="43" t="s">
        <v>5321</v>
      </c>
      <c r="W93" s="43" t="s">
        <v>5322</v>
      </c>
      <c r="X93" s="43" t="s">
        <v>5323</v>
      </c>
      <c r="Y93" s="43" t="s">
        <v>5324</v>
      </c>
      <c r="Z93" s="43" t="s">
        <v>5863</v>
      </c>
      <c r="AA93" s="43" t="s">
        <v>5864</v>
      </c>
      <c r="AB93" s="43"/>
      <c r="AC93" s="43" t="s">
        <v>5415</v>
      </c>
      <c r="AD93" s="43" t="s">
        <v>5386</v>
      </c>
      <c r="AE93" s="43" t="s">
        <v>5324</v>
      </c>
    </row>
    <row r="94" ht="16.8" spans="1:31">
      <c r="A94" s="43" t="s">
        <v>5309</v>
      </c>
      <c r="B94" s="44">
        <v>46232</v>
      </c>
      <c r="C94" s="43" t="s">
        <v>5310</v>
      </c>
      <c r="D94" s="45">
        <v>46232.5244615856</v>
      </c>
      <c r="E94" s="43" t="s">
        <v>5865</v>
      </c>
      <c r="F94" s="43" t="s">
        <v>5312</v>
      </c>
      <c r="G94" s="43" t="s">
        <v>5866</v>
      </c>
      <c r="H94" s="43"/>
      <c r="I94" s="46">
        <v>2.66</v>
      </c>
      <c r="J94" s="46">
        <v>0</v>
      </c>
      <c r="K94" s="46">
        <v>2.66</v>
      </c>
      <c r="L94" s="43" t="s">
        <v>5314</v>
      </c>
      <c r="M94" s="46">
        <v>0</v>
      </c>
      <c r="N94" s="43"/>
      <c r="O94" s="43" t="s">
        <v>5315</v>
      </c>
      <c r="P94" s="43" t="s">
        <v>5316</v>
      </c>
      <c r="Q94" s="47">
        <v>1</v>
      </c>
      <c r="R94" s="43" t="s">
        <v>5317</v>
      </c>
      <c r="S94" s="43" t="s">
        <v>5489</v>
      </c>
      <c r="T94" s="43" t="s">
        <v>5319</v>
      </c>
      <c r="U94" s="43" t="s">
        <v>5320</v>
      </c>
      <c r="V94" s="43" t="s">
        <v>5321</v>
      </c>
      <c r="W94" s="43" t="s">
        <v>5322</v>
      </c>
      <c r="X94" s="43" t="s">
        <v>5323</v>
      </c>
      <c r="Y94" s="43" t="s">
        <v>5324</v>
      </c>
      <c r="Z94" s="43" t="s">
        <v>5867</v>
      </c>
      <c r="AA94" s="43" t="s">
        <v>5868</v>
      </c>
      <c r="AB94" s="43"/>
      <c r="AC94" s="43" t="s">
        <v>5869</v>
      </c>
      <c r="AD94" s="43" t="s">
        <v>5870</v>
      </c>
      <c r="AE94" s="43" t="s">
        <v>5324</v>
      </c>
    </row>
    <row r="95" ht="16.8" spans="1:31">
      <c r="A95" s="43" t="s">
        <v>5309</v>
      </c>
      <c r="B95" s="44">
        <v>46232</v>
      </c>
      <c r="C95" s="43" t="s">
        <v>5310</v>
      </c>
      <c r="D95" s="45">
        <v>46232.5251725694</v>
      </c>
      <c r="E95" s="43" t="s">
        <v>5871</v>
      </c>
      <c r="F95" s="43" t="s">
        <v>5312</v>
      </c>
      <c r="G95" s="43" t="s">
        <v>5872</v>
      </c>
      <c r="H95" s="43"/>
      <c r="I95" s="46">
        <v>2.66</v>
      </c>
      <c r="J95" s="46">
        <v>0</v>
      </c>
      <c r="K95" s="46">
        <v>2.66</v>
      </c>
      <c r="L95" s="43" t="s">
        <v>5314</v>
      </c>
      <c r="M95" s="46">
        <v>0</v>
      </c>
      <c r="N95" s="43"/>
      <c r="O95" s="43" t="s">
        <v>5315</v>
      </c>
      <c r="P95" s="43" t="s">
        <v>5316</v>
      </c>
      <c r="Q95" s="47">
        <v>1</v>
      </c>
      <c r="R95" s="43" t="s">
        <v>5317</v>
      </c>
      <c r="S95" s="43" t="s">
        <v>5489</v>
      </c>
      <c r="T95" s="43" t="s">
        <v>5319</v>
      </c>
      <c r="U95" s="43" t="s">
        <v>5320</v>
      </c>
      <c r="V95" s="43" t="s">
        <v>5321</v>
      </c>
      <c r="W95" s="43" t="s">
        <v>5322</v>
      </c>
      <c r="X95" s="43" t="s">
        <v>5323</v>
      </c>
      <c r="Y95" s="43" t="s">
        <v>5324</v>
      </c>
      <c r="Z95" s="43" t="s">
        <v>5873</v>
      </c>
      <c r="AA95" s="43" t="s">
        <v>5874</v>
      </c>
      <c r="AB95" s="43"/>
      <c r="AC95" s="43" t="s">
        <v>5875</v>
      </c>
      <c r="AD95" s="43" t="s">
        <v>5876</v>
      </c>
      <c r="AE95" s="43" t="s">
        <v>5324</v>
      </c>
    </row>
    <row r="96" ht="16.8" spans="1:31">
      <c r="A96" s="43" t="s">
        <v>5309</v>
      </c>
      <c r="B96" s="44">
        <v>46232</v>
      </c>
      <c r="C96" s="43" t="s">
        <v>5310</v>
      </c>
      <c r="D96" s="45">
        <v>46232.5260330671</v>
      </c>
      <c r="E96" s="43" t="s">
        <v>5877</v>
      </c>
      <c r="F96" s="43" t="s">
        <v>5312</v>
      </c>
      <c r="G96" s="43" t="s">
        <v>5878</v>
      </c>
      <c r="H96" s="43"/>
      <c r="I96" s="46">
        <v>3.64</v>
      </c>
      <c r="J96" s="46">
        <v>0</v>
      </c>
      <c r="K96" s="46">
        <v>3.64</v>
      </c>
      <c r="L96" s="43" t="s">
        <v>5314</v>
      </c>
      <c r="M96" s="46">
        <v>0</v>
      </c>
      <c r="N96" s="43"/>
      <c r="O96" s="43" t="s">
        <v>5315</v>
      </c>
      <c r="P96" s="43" t="s">
        <v>5316</v>
      </c>
      <c r="Q96" s="47">
        <v>1</v>
      </c>
      <c r="R96" s="43" t="s">
        <v>5317</v>
      </c>
      <c r="S96" s="43" t="s">
        <v>5489</v>
      </c>
      <c r="T96" s="43" t="s">
        <v>5319</v>
      </c>
      <c r="U96" s="43" t="s">
        <v>5320</v>
      </c>
      <c r="V96" s="43" t="s">
        <v>5321</v>
      </c>
      <c r="W96" s="43" t="s">
        <v>5322</v>
      </c>
      <c r="X96" s="43" t="s">
        <v>5323</v>
      </c>
      <c r="Y96" s="43" t="s">
        <v>5324</v>
      </c>
      <c r="Z96" s="43" t="s">
        <v>5879</v>
      </c>
      <c r="AA96" s="43" t="s">
        <v>5880</v>
      </c>
      <c r="AB96" s="43"/>
      <c r="AC96" s="43" t="s">
        <v>5881</v>
      </c>
      <c r="AD96" s="43" t="s">
        <v>5882</v>
      </c>
      <c r="AE96" s="43" t="s">
        <v>5324</v>
      </c>
    </row>
    <row r="97" s="42" customFormat="1" ht="16.8" spans="1:31">
      <c r="A97" s="48" t="s">
        <v>5309</v>
      </c>
      <c r="B97" s="49">
        <v>46232</v>
      </c>
      <c r="C97" s="48" t="s">
        <v>5310</v>
      </c>
      <c r="D97" s="50">
        <v>46232.5268354398</v>
      </c>
      <c r="E97" s="48" t="s">
        <v>5883</v>
      </c>
      <c r="F97" s="48" t="s">
        <v>5312</v>
      </c>
      <c r="G97" s="48" t="s">
        <v>5884</v>
      </c>
      <c r="H97" s="51"/>
      <c r="I97" s="52">
        <v>0</v>
      </c>
      <c r="J97" s="52">
        <v>0</v>
      </c>
      <c r="K97" s="52">
        <v>3.64</v>
      </c>
      <c r="L97" s="48" t="s">
        <v>5314</v>
      </c>
      <c r="M97" s="52">
        <v>0</v>
      </c>
      <c r="N97" s="51"/>
      <c r="O97" s="48" t="s">
        <v>5315</v>
      </c>
      <c r="P97" s="48" t="s">
        <v>5316</v>
      </c>
      <c r="Q97" s="53">
        <v>1</v>
      </c>
      <c r="R97" s="48" t="s">
        <v>5317</v>
      </c>
      <c r="S97" s="48" t="s">
        <v>5489</v>
      </c>
      <c r="T97" s="48" t="s">
        <v>5319</v>
      </c>
      <c r="U97" s="48" t="s">
        <v>5320</v>
      </c>
      <c r="V97" s="48" t="s">
        <v>5321</v>
      </c>
      <c r="W97" s="48" t="s">
        <v>5322</v>
      </c>
      <c r="X97" s="48" t="s">
        <v>5323</v>
      </c>
      <c r="Y97" s="48" t="s">
        <v>5324</v>
      </c>
      <c r="Z97" s="48" t="s">
        <v>5885</v>
      </c>
      <c r="AA97" s="48" t="s">
        <v>5886</v>
      </c>
      <c r="AB97" s="51"/>
      <c r="AC97" s="48" t="s">
        <v>5887</v>
      </c>
      <c r="AD97" s="48" t="s">
        <v>5888</v>
      </c>
      <c r="AE97" s="48" t="s">
        <v>5324</v>
      </c>
    </row>
    <row r="98" ht="16.8" spans="1:31">
      <c r="A98" s="43" t="s">
        <v>5309</v>
      </c>
      <c r="B98" s="44">
        <v>46232</v>
      </c>
      <c r="C98" s="43" t="s">
        <v>5310</v>
      </c>
      <c r="D98" s="45">
        <v>46232.5275858449</v>
      </c>
      <c r="E98" s="43" t="s">
        <v>5889</v>
      </c>
      <c r="F98" s="43" t="s">
        <v>5312</v>
      </c>
      <c r="G98" s="43" t="s">
        <v>5890</v>
      </c>
      <c r="H98" s="43"/>
      <c r="I98" s="46">
        <v>2.66</v>
      </c>
      <c r="J98" s="46">
        <v>0</v>
      </c>
      <c r="K98" s="46">
        <v>2.66</v>
      </c>
      <c r="L98" s="43" t="s">
        <v>5314</v>
      </c>
      <c r="M98" s="46">
        <v>0</v>
      </c>
      <c r="N98" s="43"/>
      <c r="O98" s="43" t="s">
        <v>5315</v>
      </c>
      <c r="P98" s="43" t="s">
        <v>5316</v>
      </c>
      <c r="Q98" s="47">
        <v>1</v>
      </c>
      <c r="R98" s="43" t="s">
        <v>5317</v>
      </c>
      <c r="S98" s="43" t="s">
        <v>5489</v>
      </c>
      <c r="T98" s="43" t="s">
        <v>5319</v>
      </c>
      <c r="U98" s="43" t="s">
        <v>5320</v>
      </c>
      <c r="V98" s="43" t="s">
        <v>5321</v>
      </c>
      <c r="W98" s="43" t="s">
        <v>5322</v>
      </c>
      <c r="X98" s="43" t="s">
        <v>5323</v>
      </c>
      <c r="Y98" s="43" t="s">
        <v>5324</v>
      </c>
      <c r="Z98" s="43" t="s">
        <v>5891</v>
      </c>
      <c r="AA98" s="43" t="s">
        <v>5892</v>
      </c>
      <c r="AB98" s="43"/>
      <c r="AC98" s="43" t="s">
        <v>5893</v>
      </c>
      <c r="AD98" s="43" t="s">
        <v>5894</v>
      </c>
      <c r="AE98" s="43" t="s">
        <v>5324</v>
      </c>
    </row>
    <row r="99" ht="16.8" spans="1:31">
      <c r="A99" s="43" t="s">
        <v>5309</v>
      </c>
      <c r="B99" s="44">
        <v>46232</v>
      </c>
      <c r="C99" s="43" t="s">
        <v>5310</v>
      </c>
      <c r="D99" s="45">
        <v>46232.5283767245</v>
      </c>
      <c r="E99" s="43" t="s">
        <v>5895</v>
      </c>
      <c r="F99" s="43" t="s">
        <v>5312</v>
      </c>
      <c r="G99" s="43" t="s">
        <v>5896</v>
      </c>
      <c r="H99" s="43"/>
      <c r="I99" s="46">
        <v>2.66</v>
      </c>
      <c r="J99" s="46">
        <v>0</v>
      </c>
      <c r="K99" s="46">
        <v>2.66</v>
      </c>
      <c r="L99" s="43" t="s">
        <v>5314</v>
      </c>
      <c r="M99" s="46">
        <v>0</v>
      </c>
      <c r="N99" s="43"/>
      <c r="O99" s="43" t="s">
        <v>5315</v>
      </c>
      <c r="P99" s="43" t="s">
        <v>5316</v>
      </c>
      <c r="Q99" s="47">
        <v>1</v>
      </c>
      <c r="R99" s="43" t="s">
        <v>5317</v>
      </c>
      <c r="S99" s="43" t="s">
        <v>5489</v>
      </c>
      <c r="T99" s="43" t="s">
        <v>5319</v>
      </c>
      <c r="U99" s="43" t="s">
        <v>5320</v>
      </c>
      <c r="V99" s="43" t="s">
        <v>5321</v>
      </c>
      <c r="W99" s="43" t="s">
        <v>5322</v>
      </c>
      <c r="X99" s="43" t="s">
        <v>5323</v>
      </c>
      <c r="Y99" s="43" t="s">
        <v>5324</v>
      </c>
      <c r="Z99" s="43" t="s">
        <v>5897</v>
      </c>
      <c r="AA99" s="43" t="s">
        <v>5524</v>
      </c>
      <c r="AB99" s="43"/>
      <c r="AC99" s="43" t="s">
        <v>5898</v>
      </c>
      <c r="AD99" s="43" t="s">
        <v>5899</v>
      </c>
      <c r="AE99" s="43" t="s">
        <v>5324</v>
      </c>
    </row>
    <row r="100" s="42" customFormat="1" ht="16.8" spans="1:31">
      <c r="A100" s="48" t="s">
        <v>5309</v>
      </c>
      <c r="B100" s="49">
        <v>46232</v>
      </c>
      <c r="C100" s="48" t="s">
        <v>5310</v>
      </c>
      <c r="D100" s="50">
        <v>46232.5295146875</v>
      </c>
      <c r="E100" s="48" t="s">
        <v>5900</v>
      </c>
      <c r="F100" s="48" t="s">
        <v>5312</v>
      </c>
      <c r="G100" s="48" t="s">
        <v>5901</v>
      </c>
      <c r="H100" s="51"/>
      <c r="I100" s="52">
        <v>0</v>
      </c>
      <c r="J100" s="52">
        <v>0</v>
      </c>
      <c r="K100" s="52">
        <v>2.66</v>
      </c>
      <c r="L100" s="48" t="s">
        <v>5314</v>
      </c>
      <c r="M100" s="52">
        <v>0</v>
      </c>
      <c r="N100" s="51"/>
      <c r="O100" s="48" t="s">
        <v>5315</v>
      </c>
      <c r="P100" s="48" t="s">
        <v>5316</v>
      </c>
      <c r="Q100" s="53">
        <v>1</v>
      </c>
      <c r="R100" s="48" t="s">
        <v>5317</v>
      </c>
      <c r="S100" s="48" t="s">
        <v>5489</v>
      </c>
      <c r="T100" s="48" t="s">
        <v>5319</v>
      </c>
      <c r="U100" s="48" t="s">
        <v>5320</v>
      </c>
      <c r="V100" s="48" t="s">
        <v>5321</v>
      </c>
      <c r="W100" s="48" t="s">
        <v>5322</v>
      </c>
      <c r="X100" s="48" t="s">
        <v>5323</v>
      </c>
      <c r="Y100" s="48" t="s">
        <v>5324</v>
      </c>
      <c r="Z100" s="48" t="s">
        <v>5902</v>
      </c>
      <c r="AA100" s="48" t="s">
        <v>5582</v>
      </c>
      <c r="AB100" s="51"/>
      <c r="AC100" s="48" t="s">
        <v>5903</v>
      </c>
      <c r="AD100" s="48" t="s">
        <v>5904</v>
      </c>
      <c r="AE100" s="48" t="s">
        <v>5324</v>
      </c>
    </row>
    <row r="101" ht="16.8" spans="1:31">
      <c r="A101" s="43" t="s">
        <v>5309</v>
      </c>
      <c r="B101" s="44">
        <v>46232</v>
      </c>
      <c r="C101" s="43" t="s">
        <v>5310</v>
      </c>
      <c r="D101" s="45">
        <v>46232.5302969329</v>
      </c>
      <c r="E101" s="43" t="s">
        <v>5905</v>
      </c>
      <c r="F101" s="43" t="s">
        <v>5312</v>
      </c>
      <c r="G101" s="43" t="s">
        <v>5906</v>
      </c>
      <c r="H101" s="43"/>
      <c r="I101" s="46">
        <v>2.66</v>
      </c>
      <c r="J101" s="46">
        <v>0</v>
      </c>
      <c r="K101" s="46">
        <v>2.66</v>
      </c>
      <c r="L101" s="43" t="s">
        <v>5314</v>
      </c>
      <c r="M101" s="46">
        <v>0</v>
      </c>
      <c r="N101" s="43"/>
      <c r="O101" s="43" t="s">
        <v>5315</v>
      </c>
      <c r="P101" s="43" t="s">
        <v>5316</v>
      </c>
      <c r="Q101" s="47">
        <v>1</v>
      </c>
      <c r="R101" s="43" t="s">
        <v>5317</v>
      </c>
      <c r="S101" s="43" t="s">
        <v>5489</v>
      </c>
      <c r="T101" s="43" t="s">
        <v>5319</v>
      </c>
      <c r="U101" s="43" t="s">
        <v>5320</v>
      </c>
      <c r="V101" s="43" t="s">
        <v>5321</v>
      </c>
      <c r="W101" s="43" t="s">
        <v>5322</v>
      </c>
      <c r="X101" s="43" t="s">
        <v>5323</v>
      </c>
      <c r="Y101" s="43" t="s">
        <v>5324</v>
      </c>
      <c r="Z101" s="43" t="s">
        <v>5907</v>
      </c>
      <c r="AA101" s="43" t="s">
        <v>5826</v>
      </c>
      <c r="AB101" s="43"/>
      <c r="AC101" s="43" t="s">
        <v>5908</v>
      </c>
      <c r="AD101" s="43" t="s">
        <v>5909</v>
      </c>
      <c r="AE101" s="43" t="s">
        <v>5324</v>
      </c>
    </row>
    <row r="102" ht="16.8" spans="1:31">
      <c r="A102" s="43" t="s">
        <v>5309</v>
      </c>
      <c r="B102" s="44">
        <v>46232</v>
      </c>
      <c r="C102" s="43" t="s">
        <v>5310</v>
      </c>
      <c r="D102" s="45">
        <v>46232.5311188889</v>
      </c>
      <c r="E102" s="43" t="s">
        <v>5910</v>
      </c>
      <c r="F102" s="43" t="s">
        <v>5312</v>
      </c>
      <c r="G102" s="43" t="s">
        <v>5911</v>
      </c>
      <c r="H102" s="43"/>
      <c r="I102" s="46">
        <v>3.64</v>
      </c>
      <c r="J102" s="46">
        <v>0</v>
      </c>
      <c r="K102" s="46">
        <v>3.64</v>
      </c>
      <c r="L102" s="43" t="s">
        <v>5314</v>
      </c>
      <c r="M102" s="46">
        <v>0</v>
      </c>
      <c r="N102" s="43"/>
      <c r="O102" s="43" t="s">
        <v>5315</v>
      </c>
      <c r="P102" s="43" t="s">
        <v>5316</v>
      </c>
      <c r="Q102" s="47">
        <v>1</v>
      </c>
      <c r="R102" s="43" t="s">
        <v>5317</v>
      </c>
      <c r="S102" s="43" t="s">
        <v>5489</v>
      </c>
      <c r="T102" s="43" t="s">
        <v>5319</v>
      </c>
      <c r="U102" s="43" t="s">
        <v>5320</v>
      </c>
      <c r="V102" s="43" t="s">
        <v>5321</v>
      </c>
      <c r="W102" s="43" t="s">
        <v>5322</v>
      </c>
      <c r="X102" s="43" t="s">
        <v>5323</v>
      </c>
      <c r="Y102" s="43" t="s">
        <v>5324</v>
      </c>
      <c r="Z102" s="43" t="s">
        <v>5912</v>
      </c>
      <c r="AA102" s="43" t="s">
        <v>5913</v>
      </c>
      <c r="AB102" s="43"/>
      <c r="AC102" s="43" t="s">
        <v>5914</v>
      </c>
      <c r="AD102" s="43" t="s">
        <v>5915</v>
      </c>
      <c r="AE102" s="43" t="s">
        <v>5324</v>
      </c>
    </row>
    <row r="103" ht="16.8" spans="1:31">
      <c r="A103" s="43" t="s">
        <v>5309</v>
      </c>
      <c r="B103" s="44">
        <v>46232</v>
      </c>
      <c r="C103" s="43" t="s">
        <v>5310</v>
      </c>
      <c r="D103" s="45">
        <v>46232.5322316782</v>
      </c>
      <c r="E103" s="43" t="s">
        <v>5916</v>
      </c>
      <c r="F103" s="43" t="s">
        <v>5312</v>
      </c>
      <c r="G103" s="43" t="s">
        <v>5917</v>
      </c>
      <c r="H103" s="43"/>
      <c r="I103" s="46">
        <v>2.66</v>
      </c>
      <c r="J103" s="46">
        <v>0</v>
      </c>
      <c r="K103" s="46">
        <v>2.66</v>
      </c>
      <c r="L103" s="43" t="s">
        <v>5314</v>
      </c>
      <c r="M103" s="46">
        <v>0</v>
      </c>
      <c r="N103" s="43"/>
      <c r="O103" s="43" t="s">
        <v>5315</v>
      </c>
      <c r="P103" s="43" t="s">
        <v>5316</v>
      </c>
      <c r="Q103" s="47">
        <v>1</v>
      </c>
      <c r="R103" s="43" t="s">
        <v>5317</v>
      </c>
      <c r="S103" s="43" t="s">
        <v>5489</v>
      </c>
      <c r="T103" s="43" t="s">
        <v>5319</v>
      </c>
      <c r="U103" s="43" t="s">
        <v>5320</v>
      </c>
      <c r="V103" s="43" t="s">
        <v>5321</v>
      </c>
      <c r="W103" s="43" t="s">
        <v>5322</v>
      </c>
      <c r="X103" s="43" t="s">
        <v>5323</v>
      </c>
      <c r="Y103" s="43" t="s">
        <v>5324</v>
      </c>
      <c r="Z103" s="43" t="s">
        <v>5918</v>
      </c>
      <c r="AA103" s="43" t="s">
        <v>5719</v>
      </c>
      <c r="AB103" s="43"/>
      <c r="AC103" s="43" t="s">
        <v>5919</v>
      </c>
      <c r="AD103" s="43" t="s">
        <v>5920</v>
      </c>
      <c r="AE103" s="43" t="s">
        <v>5324</v>
      </c>
    </row>
    <row r="104" ht="16.8" spans="1:31">
      <c r="A104" s="43" t="s">
        <v>5309</v>
      </c>
      <c r="B104" s="44">
        <v>46232</v>
      </c>
      <c r="C104" s="43" t="s">
        <v>5310</v>
      </c>
      <c r="D104" s="45">
        <v>46232.5329763079</v>
      </c>
      <c r="E104" s="43" t="s">
        <v>5921</v>
      </c>
      <c r="F104" s="43" t="s">
        <v>5312</v>
      </c>
      <c r="G104" s="43" t="s">
        <v>5922</v>
      </c>
      <c r="H104" s="43"/>
      <c r="I104" s="46">
        <v>2.66</v>
      </c>
      <c r="J104" s="46">
        <v>0</v>
      </c>
      <c r="K104" s="46">
        <v>2.66</v>
      </c>
      <c r="L104" s="43" t="s">
        <v>5314</v>
      </c>
      <c r="M104" s="46">
        <v>0</v>
      </c>
      <c r="N104" s="43"/>
      <c r="O104" s="43" t="s">
        <v>5315</v>
      </c>
      <c r="P104" s="43" t="s">
        <v>5316</v>
      </c>
      <c r="Q104" s="47">
        <v>1</v>
      </c>
      <c r="R104" s="43" t="s">
        <v>5317</v>
      </c>
      <c r="S104" s="43" t="s">
        <v>5489</v>
      </c>
      <c r="T104" s="43" t="s">
        <v>5319</v>
      </c>
      <c r="U104" s="43" t="s">
        <v>5320</v>
      </c>
      <c r="V104" s="43" t="s">
        <v>5321</v>
      </c>
      <c r="W104" s="43" t="s">
        <v>5322</v>
      </c>
      <c r="X104" s="43" t="s">
        <v>5323</v>
      </c>
      <c r="Y104" s="43" t="s">
        <v>5324</v>
      </c>
      <c r="Z104" s="43" t="s">
        <v>5923</v>
      </c>
      <c r="AA104" s="43" t="s">
        <v>5924</v>
      </c>
      <c r="AB104" s="43"/>
      <c r="AC104" s="43" t="s">
        <v>5925</v>
      </c>
      <c r="AD104" s="43" t="s">
        <v>5926</v>
      </c>
      <c r="AE104" s="43" t="s">
        <v>5324</v>
      </c>
    </row>
    <row r="105" ht="16.8" spans="1:31">
      <c r="A105" s="43" t="s">
        <v>5309</v>
      </c>
      <c r="B105" s="44">
        <v>46232</v>
      </c>
      <c r="C105" s="43" t="s">
        <v>5310</v>
      </c>
      <c r="D105" s="45">
        <v>46232.5342797569</v>
      </c>
      <c r="E105" s="43" t="s">
        <v>5927</v>
      </c>
      <c r="F105" s="43" t="s">
        <v>5312</v>
      </c>
      <c r="G105" s="43" t="s">
        <v>5928</v>
      </c>
      <c r="H105" s="43"/>
      <c r="I105" s="46">
        <v>3.64</v>
      </c>
      <c r="J105" s="46">
        <v>0</v>
      </c>
      <c r="K105" s="46">
        <v>3.64</v>
      </c>
      <c r="L105" s="43" t="s">
        <v>5314</v>
      </c>
      <c r="M105" s="46">
        <v>0</v>
      </c>
      <c r="N105" s="43"/>
      <c r="O105" s="43" t="s">
        <v>5315</v>
      </c>
      <c r="P105" s="43" t="s">
        <v>5316</v>
      </c>
      <c r="Q105" s="47">
        <v>1</v>
      </c>
      <c r="R105" s="43" t="s">
        <v>5317</v>
      </c>
      <c r="S105" s="43" t="s">
        <v>5807</v>
      </c>
      <c r="T105" s="43" t="s">
        <v>5319</v>
      </c>
      <c r="U105" s="43" t="s">
        <v>5320</v>
      </c>
      <c r="V105" s="43" t="s">
        <v>5321</v>
      </c>
      <c r="W105" s="43" t="s">
        <v>5322</v>
      </c>
      <c r="X105" s="43" t="s">
        <v>5323</v>
      </c>
      <c r="Y105" s="43" t="s">
        <v>5324</v>
      </c>
      <c r="Z105" s="43" t="s">
        <v>5929</v>
      </c>
      <c r="AA105" s="43" t="s">
        <v>5930</v>
      </c>
      <c r="AB105" s="43"/>
      <c r="AC105" s="43" t="s">
        <v>5931</v>
      </c>
      <c r="AD105" s="43" t="s">
        <v>5932</v>
      </c>
      <c r="AE105" s="43" t="s">
        <v>5324</v>
      </c>
    </row>
    <row r="106" s="42" customFormat="1" ht="16.8" spans="1:31">
      <c r="A106" s="48" t="s">
        <v>5309</v>
      </c>
      <c r="B106" s="49">
        <v>46232</v>
      </c>
      <c r="C106" s="48" t="s">
        <v>5310</v>
      </c>
      <c r="D106" s="50">
        <v>46232.5350311921</v>
      </c>
      <c r="E106" s="48" t="s">
        <v>5933</v>
      </c>
      <c r="F106" s="48" t="s">
        <v>5312</v>
      </c>
      <c r="G106" s="48" t="s">
        <v>5934</v>
      </c>
      <c r="H106" s="51"/>
      <c r="I106" s="52">
        <v>0</v>
      </c>
      <c r="J106" s="52">
        <v>0</v>
      </c>
      <c r="K106" s="52">
        <v>2.66</v>
      </c>
      <c r="L106" s="48" t="s">
        <v>5314</v>
      </c>
      <c r="M106" s="52">
        <v>0</v>
      </c>
      <c r="N106" s="51"/>
      <c r="O106" s="48" t="s">
        <v>5315</v>
      </c>
      <c r="P106" s="48" t="s">
        <v>5316</v>
      </c>
      <c r="Q106" s="53">
        <v>1</v>
      </c>
      <c r="R106" s="48" t="s">
        <v>5317</v>
      </c>
      <c r="S106" s="48" t="s">
        <v>5489</v>
      </c>
      <c r="T106" s="48" t="s">
        <v>5319</v>
      </c>
      <c r="U106" s="48" t="s">
        <v>5320</v>
      </c>
      <c r="V106" s="48" t="s">
        <v>5321</v>
      </c>
      <c r="W106" s="48" t="s">
        <v>5322</v>
      </c>
      <c r="X106" s="48" t="s">
        <v>5323</v>
      </c>
      <c r="Y106" s="48" t="s">
        <v>5324</v>
      </c>
      <c r="Z106" s="48" t="s">
        <v>5935</v>
      </c>
      <c r="AA106" s="48" t="s">
        <v>5936</v>
      </c>
      <c r="AB106" s="51"/>
      <c r="AC106" s="48" t="s">
        <v>5937</v>
      </c>
      <c r="AD106" s="48" t="s">
        <v>5938</v>
      </c>
      <c r="AE106" s="48" t="s">
        <v>5324</v>
      </c>
    </row>
    <row r="107" ht="16.8" spans="1:31">
      <c r="A107" s="43" t="s">
        <v>5309</v>
      </c>
      <c r="B107" s="44">
        <v>46232</v>
      </c>
      <c r="C107" s="43" t="s">
        <v>5310</v>
      </c>
      <c r="D107" s="45">
        <v>46232.5358137153</v>
      </c>
      <c r="E107" s="43" t="s">
        <v>5939</v>
      </c>
      <c r="F107" s="43" t="s">
        <v>5312</v>
      </c>
      <c r="G107" s="43" t="s">
        <v>5940</v>
      </c>
      <c r="H107" s="43"/>
      <c r="I107" s="46">
        <v>2.66</v>
      </c>
      <c r="J107" s="46">
        <v>0</v>
      </c>
      <c r="K107" s="46">
        <v>2.66</v>
      </c>
      <c r="L107" s="43" t="s">
        <v>5314</v>
      </c>
      <c r="M107" s="46">
        <v>0</v>
      </c>
      <c r="N107" s="43"/>
      <c r="O107" s="43" t="s">
        <v>5315</v>
      </c>
      <c r="P107" s="43" t="s">
        <v>5316</v>
      </c>
      <c r="Q107" s="47">
        <v>1</v>
      </c>
      <c r="R107" s="43" t="s">
        <v>5317</v>
      </c>
      <c r="S107" s="43" t="s">
        <v>5489</v>
      </c>
      <c r="T107" s="43" t="s">
        <v>5319</v>
      </c>
      <c r="U107" s="43" t="s">
        <v>5320</v>
      </c>
      <c r="V107" s="43" t="s">
        <v>5321</v>
      </c>
      <c r="W107" s="43" t="s">
        <v>5322</v>
      </c>
      <c r="X107" s="43" t="s">
        <v>5323</v>
      </c>
      <c r="Y107" s="43" t="s">
        <v>5324</v>
      </c>
      <c r="Z107" s="43" t="s">
        <v>5941</v>
      </c>
      <c r="AA107" s="43" t="s">
        <v>5942</v>
      </c>
      <c r="AB107" s="43"/>
      <c r="AC107" s="43" t="s">
        <v>5943</v>
      </c>
      <c r="AD107" s="43" t="s">
        <v>5386</v>
      </c>
      <c r="AE107" s="43" t="s">
        <v>5324</v>
      </c>
    </row>
    <row r="108" s="42" customFormat="1" ht="16.8" spans="1:31">
      <c r="A108" s="48" t="s">
        <v>5309</v>
      </c>
      <c r="B108" s="49">
        <v>46232</v>
      </c>
      <c r="C108" s="48" t="s">
        <v>5310</v>
      </c>
      <c r="D108" s="50">
        <v>46232.5370554745</v>
      </c>
      <c r="E108" s="48" t="s">
        <v>5944</v>
      </c>
      <c r="F108" s="48" t="s">
        <v>5312</v>
      </c>
      <c r="G108" s="48" t="s">
        <v>5945</v>
      </c>
      <c r="H108" s="51"/>
      <c r="I108" s="52">
        <v>0</v>
      </c>
      <c r="J108" s="52">
        <v>0</v>
      </c>
      <c r="K108" s="52">
        <v>3.64</v>
      </c>
      <c r="L108" s="48" t="s">
        <v>5314</v>
      </c>
      <c r="M108" s="52">
        <v>0</v>
      </c>
      <c r="N108" s="51"/>
      <c r="O108" s="48" t="s">
        <v>5315</v>
      </c>
      <c r="P108" s="48" t="s">
        <v>5316</v>
      </c>
      <c r="Q108" s="53">
        <v>1</v>
      </c>
      <c r="R108" s="48" t="s">
        <v>5317</v>
      </c>
      <c r="S108" s="48" t="s">
        <v>5489</v>
      </c>
      <c r="T108" s="48" t="s">
        <v>5319</v>
      </c>
      <c r="U108" s="48" t="s">
        <v>5320</v>
      </c>
      <c r="V108" s="48" t="s">
        <v>5321</v>
      </c>
      <c r="W108" s="48" t="s">
        <v>5322</v>
      </c>
      <c r="X108" s="48" t="s">
        <v>5323</v>
      </c>
      <c r="Y108" s="48" t="s">
        <v>5324</v>
      </c>
      <c r="Z108" s="48" t="s">
        <v>5946</v>
      </c>
      <c r="AA108" s="48" t="s">
        <v>5784</v>
      </c>
      <c r="AB108" s="51"/>
      <c r="AC108" s="48" t="s">
        <v>5947</v>
      </c>
      <c r="AD108" s="48" t="s">
        <v>5948</v>
      </c>
      <c r="AE108" s="48" t="s">
        <v>5324</v>
      </c>
    </row>
    <row r="109" ht="16.8" spans="1:31">
      <c r="A109" s="43" t="s">
        <v>5309</v>
      </c>
      <c r="B109" s="44">
        <v>46232</v>
      </c>
      <c r="C109" s="43" t="s">
        <v>5310</v>
      </c>
      <c r="D109" s="45">
        <v>46232.5388682407</v>
      </c>
      <c r="E109" s="43" t="s">
        <v>5949</v>
      </c>
      <c r="F109" s="43" t="s">
        <v>5312</v>
      </c>
      <c r="G109" s="43" t="s">
        <v>5950</v>
      </c>
      <c r="H109" s="43"/>
      <c r="I109" s="46">
        <v>2.66</v>
      </c>
      <c r="J109" s="46">
        <v>0</v>
      </c>
      <c r="K109" s="46">
        <v>2.66</v>
      </c>
      <c r="L109" s="43" t="s">
        <v>5314</v>
      </c>
      <c r="M109" s="46">
        <v>0</v>
      </c>
      <c r="N109" s="43"/>
      <c r="O109" s="43" t="s">
        <v>5315</v>
      </c>
      <c r="P109" s="43" t="s">
        <v>5316</v>
      </c>
      <c r="Q109" s="47">
        <v>1</v>
      </c>
      <c r="R109" s="43" t="s">
        <v>5317</v>
      </c>
      <c r="S109" s="43" t="s">
        <v>5489</v>
      </c>
      <c r="T109" s="43" t="s">
        <v>5319</v>
      </c>
      <c r="U109" s="43" t="s">
        <v>5320</v>
      </c>
      <c r="V109" s="43" t="s">
        <v>5321</v>
      </c>
      <c r="W109" s="43" t="s">
        <v>5322</v>
      </c>
      <c r="X109" s="43" t="s">
        <v>5323</v>
      </c>
      <c r="Y109" s="43" t="s">
        <v>5324</v>
      </c>
      <c r="Z109" s="43" t="s">
        <v>5951</v>
      </c>
      <c r="AA109" s="43" t="s">
        <v>5952</v>
      </c>
      <c r="AB109" s="43"/>
      <c r="AC109" s="43" t="s">
        <v>5953</v>
      </c>
      <c r="AD109" s="43" t="s">
        <v>5954</v>
      </c>
      <c r="AE109" s="43" t="s">
        <v>5324</v>
      </c>
    </row>
    <row r="110" s="42" customFormat="1" ht="16.8" spans="1:31">
      <c r="A110" s="48" t="s">
        <v>5309</v>
      </c>
      <c r="B110" s="54">
        <v>46232</v>
      </c>
      <c r="C110" s="48" t="s">
        <v>5310</v>
      </c>
      <c r="D110" s="55">
        <v>46232.5397559491</v>
      </c>
      <c r="E110" s="48" t="s">
        <v>5955</v>
      </c>
      <c r="F110" s="48" t="s">
        <v>5312</v>
      </c>
      <c r="G110" s="48" t="s">
        <v>5956</v>
      </c>
      <c r="H110" s="56"/>
      <c r="I110" s="52">
        <v>0</v>
      </c>
      <c r="J110" s="57">
        <v>0</v>
      </c>
      <c r="K110" s="57">
        <v>2.66</v>
      </c>
      <c r="L110" s="48" t="s">
        <v>5314</v>
      </c>
      <c r="M110" s="57">
        <v>0</v>
      </c>
      <c r="N110" s="56"/>
      <c r="O110" s="48" t="s">
        <v>5315</v>
      </c>
      <c r="P110" s="48" t="s">
        <v>5316</v>
      </c>
      <c r="Q110" s="58">
        <v>1</v>
      </c>
      <c r="R110" s="48" t="s">
        <v>5317</v>
      </c>
      <c r="S110" s="48" t="s">
        <v>5489</v>
      </c>
      <c r="T110" s="48" t="s">
        <v>5319</v>
      </c>
      <c r="U110" s="48" t="s">
        <v>5320</v>
      </c>
      <c r="V110" s="48" t="s">
        <v>5321</v>
      </c>
      <c r="W110" s="48" t="s">
        <v>5322</v>
      </c>
      <c r="X110" s="48" t="s">
        <v>5323</v>
      </c>
      <c r="Y110" s="48" t="s">
        <v>5324</v>
      </c>
      <c r="Z110" s="48" t="s">
        <v>5957</v>
      </c>
      <c r="AA110" s="48" t="s">
        <v>5594</v>
      </c>
      <c r="AB110" s="56"/>
      <c r="AC110" s="48" t="s">
        <v>5958</v>
      </c>
      <c r="AD110" s="48" t="s">
        <v>5959</v>
      </c>
      <c r="AE110" s="48" t="s">
        <v>5324</v>
      </c>
    </row>
    <row r="111" s="42" customFormat="1" ht="16.8" spans="1:31">
      <c r="A111" s="48" t="s">
        <v>5309</v>
      </c>
      <c r="B111" s="49">
        <v>46232</v>
      </c>
      <c r="C111" s="48" t="s">
        <v>5310</v>
      </c>
      <c r="D111" s="50">
        <v>46232.5405840625</v>
      </c>
      <c r="E111" s="48" t="s">
        <v>5960</v>
      </c>
      <c r="F111" s="48" t="s">
        <v>5312</v>
      </c>
      <c r="G111" s="48" t="s">
        <v>5961</v>
      </c>
      <c r="H111" s="51"/>
      <c r="I111" s="52">
        <v>0</v>
      </c>
      <c r="J111" s="52">
        <v>0</v>
      </c>
      <c r="K111" s="52">
        <v>3.64</v>
      </c>
      <c r="L111" s="48" t="s">
        <v>5314</v>
      </c>
      <c r="M111" s="52">
        <v>0</v>
      </c>
      <c r="N111" s="51"/>
      <c r="O111" s="48" t="s">
        <v>5315</v>
      </c>
      <c r="P111" s="48" t="s">
        <v>5316</v>
      </c>
      <c r="Q111" s="53">
        <v>1</v>
      </c>
      <c r="R111" s="48" t="s">
        <v>5317</v>
      </c>
      <c r="S111" s="48" t="s">
        <v>5489</v>
      </c>
      <c r="T111" s="48" t="s">
        <v>5319</v>
      </c>
      <c r="U111" s="48" t="s">
        <v>5320</v>
      </c>
      <c r="V111" s="48" t="s">
        <v>5321</v>
      </c>
      <c r="W111" s="48" t="s">
        <v>5322</v>
      </c>
      <c r="X111" s="48" t="s">
        <v>5323</v>
      </c>
      <c r="Y111" s="48" t="s">
        <v>5324</v>
      </c>
      <c r="Z111" s="48" t="s">
        <v>5962</v>
      </c>
      <c r="AA111" s="48" t="s">
        <v>5963</v>
      </c>
      <c r="AB111" s="51"/>
      <c r="AC111" s="48" t="s">
        <v>5964</v>
      </c>
      <c r="AD111" s="48" t="s">
        <v>5965</v>
      </c>
      <c r="AE111" s="48" t="s">
        <v>5324</v>
      </c>
    </row>
    <row r="112" ht="16.8" spans="1:31">
      <c r="A112" s="43" t="s">
        <v>5309</v>
      </c>
      <c r="B112" s="44">
        <v>46232</v>
      </c>
      <c r="C112" s="43" t="s">
        <v>5310</v>
      </c>
      <c r="D112" s="45">
        <v>46232.5425254398</v>
      </c>
      <c r="E112" s="43" t="s">
        <v>5966</v>
      </c>
      <c r="F112" s="43" t="s">
        <v>5312</v>
      </c>
      <c r="G112" s="43" t="s">
        <v>5967</v>
      </c>
      <c r="H112" s="43"/>
      <c r="I112" s="46">
        <v>3.64</v>
      </c>
      <c r="J112" s="46">
        <v>0</v>
      </c>
      <c r="K112" s="46">
        <v>3.64</v>
      </c>
      <c r="L112" s="43" t="s">
        <v>5314</v>
      </c>
      <c r="M112" s="46">
        <v>0</v>
      </c>
      <c r="N112" s="43"/>
      <c r="O112" s="43" t="s">
        <v>5315</v>
      </c>
      <c r="P112" s="43" t="s">
        <v>5316</v>
      </c>
      <c r="Q112" s="47">
        <v>1</v>
      </c>
      <c r="R112" s="43" t="s">
        <v>5317</v>
      </c>
      <c r="S112" s="43" t="s">
        <v>5489</v>
      </c>
      <c r="T112" s="43" t="s">
        <v>5319</v>
      </c>
      <c r="U112" s="43" t="s">
        <v>5320</v>
      </c>
      <c r="V112" s="43" t="s">
        <v>5321</v>
      </c>
      <c r="W112" s="43" t="s">
        <v>5322</v>
      </c>
      <c r="X112" s="43" t="s">
        <v>5323</v>
      </c>
      <c r="Y112" s="43" t="s">
        <v>5324</v>
      </c>
      <c r="Z112" s="43" t="s">
        <v>5968</v>
      </c>
      <c r="AA112" s="43" t="s">
        <v>5969</v>
      </c>
      <c r="AB112" s="43"/>
      <c r="AC112" s="43" t="s">
        <v>5970</v>
      </c>
      <c r="AD112" s="43" t="s">
        <v>5733</v>
      </c>
      <c r="AE112" s="43" t="s">
        <v>5324</v>
      </c>
    </row>
    <row r="113" s="42" customFormat="1" ht="16.8" spans="1:31">
      <c r="A113" s="48" t="s">
        <v>5309</v>
      </c>
      <c r="B113" s="49">
        <v>46232</v>
      </c>
      <c r="C113" s="48" t="s">
        <v>5310</v>
      </c>
      <c r="D113" s="50">
        <v>46232.5433638079</v>
      </c>
      <c r="E113" s="48" t="s">
        <v>5971</v>
      </c>
      <c r="F113" s="48" t="s">
        <v>5312</v>
      </c>
      <c r="G113" s="48" t="s">
        <v>5972</v>
      </c>
      <c r="H113" s="51"/>
      <c r="I113" s="52">
        <v>0</v>
      </c>
      <c r="J113" s="52">
        <v>0</v>
      </c>
      <c r="K113" s="52">
        <v>3.64</v>
      </c>
      <c r="L113" s="48" t="s">
        <v>5314</v>
      </c>
      <c r="M113" s="52">
        <v>0</v>
      </c>
      <c r="N113" s="51"/>
      <c r="O113" s="48" t="s">
        <v>5315</v>
      </c>
      <c r="P113" s="48" t="s">
        <v>5316</v>
      </c>
      <c r="Q113" s="53">
        <v>1</v>
      </c>
      <c r="R113" s="48" t="s">
        <v>5317</v>
      </c>
      <c r="S113" s="48" t="s">
        <v>5489</v>
      </c>
      <c r="T113" s="48" t="s">
        <v>5319</v>
      </c>
      <c r="U113" s="48" t="s">
        <v>5320</v>
      </c>
      <c r="V113" s="48" t="s">
        <v>5321</v>
      </c>
      <c r="W113" s="48" t="s">
        <v>5322</v>
      </c>
      <c r="X113" s="48" t="s">
        <v>5323</v>
      </c>
      <c r="Y113" s="48" t="s">
        <v>5324</v>
      </c>
      <c r="Z113" s="48" t="s">
        <v>5973</v>
      </c>
      <c r="AA113" s="48" t="s">
        <v>5974</v>
      </c>
      <c r="AB113" s="51"/>
      <c r="AC113" s="48" t="s">
        <v>5975</v>
      </c>
      <c r="AD113" s="48" t="s">
        <v>5976</v>
      </c>
      <c r="AE113" s="48" t="s">
        <v>5324</v>
      </c>
    </row>
    <row r="114" ht="16.8" spans="1:31">
      <c r="A114" s="43" t="s">
        <v>5309</v>
      </c>
      <c r="B114" s="44">
        <v>46232</v>
      </c>
      <c r="C114" s="43" t="s">
        <v>5310</v>
      </c>
      <c r="D114" s="45">
        <v>46232.5441024769</v>
      </c>
      <c r="E114" s="43" t="s">
        <v>5977</v>
      </c>
      <c r="F114" s="43" t="s">
        <v>5312</v>
      </c>
      <c r="G114" s="43" t="s">
        <v>5978</v>
      </c>
      <c r="H114" s="43"/>
      <c r="I114" s="46">
        <v>2.66</v>
      </c>
      <c r="J114" s="46">
        <v>0</v>
      </c>
      <c r="K114" s="46">
        <v>2.66</v>
      </c>
      <c r="L114" s="43" t="s">
        <v>5314</v>
      </c>
      <c r="M114" s="46">
        <v>0</v>
      </c>
      <c r="N114" s="43"/>
      <c r="O114" s="43" t="s">
        <v>5315</v>
      </c>
      <c r="P114" s="43" t="s">
        <v>5316</v>
      </c>
      <c r="Q114" s="47">
        <v>1</v>
      </c>
      <c r="R114" s="43" t="s">
        <v>5317</v>
      </c>
      <c r="S114" s="43" t="s">
        <v>5489</v>
      </c>
      <c r="T114" s="43" t="s">
        <v>5319</v>
      </c>
      <c r="U114" s="43" t="s">
        <v>5320</v>
      </c>
      <c r="V114" s="43" t="s">
        <v>5321</v>
      </c>
      <c r="W114" s="43" t="s">
        <v>5322</v>
      </c>
      <c r="X114" s="43" t="s">
        <v>5323</v>
      </c>
      <c r="Y114" s="43" t="s">
        <v>5324</v>
      </c>
      <c r="Z114" s="43" t="s">
        <v>5979</v>
      </c>
      <c r="AA114" s="43" t="s">
        <v>5980</v>
      </c>
      <c r="AB114" s="43"/>
      <c r="AC114" s="43" t="s">
        <v>5981</v>
      </c>
      <c r="AD114" s="43" t="s">
        <v>5982</v>
      </c>
      <c r="AE114" s="43" t="s">
        <v>5324</v>
      </c>
    </row>
    <row r="115" ht="16.8" spans="1:31">
      <c r="A115" s="43" t="s">
        <v>5309</v>
      </c>
      <c r="B115" s="44">
        <v>46232</v>
      </c>
      <c r="C115" s="43" t="s">
        <v>5310</v>
      </c>
      <c r="D115" s="45">
        <v>46232.5449442824</v>
      </c>
      <c r="E115" s="43" t="s">
        <v>5983</v>
      </c>
      <c r="F115" s="43" t="s">
        <v>5312</v>
      </c>
      <c r="G115" s="43" t="s">
        <v>5984</v>
      </c>
      <c r="H115" s="43"/>
      <c r="I115" s="46">
        <v>2.66</v>
      </c>
      <c r="J115" s="46">
        <v>0</v>
      </c>
      <c r="K115" s="46">
        <v>2.66</v>
      </c>
      <c r="L115" s="43" t="s">
        <v>5314</v>
      </c>
      <c r="M115" s="46">
        <v>0</v>
      </c>
      <c r="N115" s="43"/>
      <c r="O115" s="43" t="s">
        <v>5315</v>
      </c>
      <c r="P115" s="43" t="s">
        <v>5316</v>
      </c>
      <c r="Q115" s="47">
        <v>1</v>
      </c>
      <c r="R115" s="43" t="s">
        <v>5317</v>
      </c>
      <c r="S115" s="43" t="s">
        <v>5489</v>
      </c>
      <c r="T115" s="43" t="s">
        <v>5319</v>
      </c>
      <c r="U115" s="43" t="s">
        <v>5320</v>
      </c>
      <c r="V115" s="43" t="s">
        <v>5321</v>
      </c>
      <c r="W115" s="43" t="s">
        <v>5322</v>
      </c>
      <c r="X115" s="43" t="s">
        <v>5323</v>
      </c>
      <c r="Y115" s="43" t="s">
        <v>5324</v>
      </c>
      <c r="Z115" s="43" t="s">
        <v>5985</v>
      </c>
      <c r="AA115" s="43" t="s">
        <v>5986</v>
      </c>
      <c r="AB115" s="43"/>
      <c r="AC115" s="43" t="s">
        <v>5987</v>
      </c>
      <c r="AD115" s="43" t="s">
        <v>5988</v>
      </c>
      <c r="AE115" s="43" t="s">
        <v>5324</v>
      </c>
    </row>
    <row r="116" s="42" customFormat="1" ht="16.8" spans="1:31">
      <c r="A116" s="48" t="s">
        <v>5309</v>
      </c>
      <c r="B116" s="49">
        <v>46232</v>
      </c>
      <c r="C116" s="48" t="s">
        <v>5310</v>
      </c>
      <c r="D116" s="50">
        <v>46232.5456484606</v>
      </c>
      <c r="E116" s="48" t="s">
        <v>5989</v>
      </c>
      <c r="F116" s="48" t="s">
        <v>5312</v>
      </c>
      <c r="G116" s="48" t="s">
        <v>5990</v>
      </c>
      <c r="H116" s="51"/>
      <c r="I116" s="52">
        <v>0</v>
      </c>
      <c r="J116" s="52">
        <v>0</v>
      </c>
      <c r="K116" s="52">
        <v>2.66</v>
      </c>
      <c r="L116" s="48" t="s">
        <v>5314</v>
      </c>
      <c r="M116" s="52">
        <v>0</v>
      </c>
      <c r="N116" s="51"/>
      <c r="O116" s="48" t="s">
        <v>5315</v>
      </c>
      <c r="P116" s="48" t="s">
        <v>5316</v>
      </c>
      <c r="Q116" s="53">
        <v>1</v>
      </c>
      <c r="R116" s="48" t="s">
        <v>5317</v>
      </c>
      <c r="S116" s="48" t="s">
        <v>5489</v>
      </c>
      <c r="T116" s="48" t="s">
        <v>5319</v>
      </c>
      <c r="U116" s="48" t="s">
        <v>5320</v>
      </c>
      <c r="V116" s="48" t="s">
        <v>5321</v>
      </c>
      <c r="W116" s="48" t="s">
        <v>5322</v>
      </c>
      <c r="X116" s="48" t="s">
        <v>5323</v>
      </c>
      <c r="Y116" s="48" t="s">
        <v>5324</v>
      </c>
      <c r="Z116" s="48" t="s">
        <v>5991</v>
      </c>
      <c r="AA116" s="48" t="s">
        <v>5992</v>
      </c>
      <c r="AB116" s="51"/>
      <c r="AC116" s="48" t="s">
        <v>5993</v>
      </c>
      <c r="AD116" s="48" t="s">
        <v>5994</v>
      </c>
      <c r="AE116" s="48" t="s">
        <v>5324</v>
      </c>
    </row>
    <row r="117" s="42" customFormat="1" ht="16.8" spans="1:31">
      <c r="A117" s="48" t="s">
        <v>5309</v>
      </c>
      <c r="B117" s="49">
        <v>46232</v>
      </c>
      <c r="C117" s="48" t="s">
        <v>5310</v>
      </c>
      <c r="D117" s="50">
        <v>46232.546378912</v>
      </c>
      <c r="E117" s="48" t="s">
        <v>5995</v>
      </c>
      <c r="F117" s="48" t="s">
        <v>5312</v>
      </c>
      <c r="G117" s="48" t="s">
        <v>5996</v>
      </c>
      <c r="H117" s="51"/>
      <c r="I117" s="52">
        <v>0</v>
      </c>
      <c r="J117" s="52">
        <v>0</v>
      </c>
      <c r="K117" s="52">
        <v>2.66</v>
      </c>
      <c r="L117" s="48" t="s">
        <v>5314</v>
      </c>
      <c r="M117" s="52">
        <v>0</v>
      </c>
      <c r="N117" s="51"/>
      <c r="O117" s="48" t="s">
        <v>5315</v>
      </c>
      <c r="P117" s="48" t="s">
        <v>5316</v>
      </c>
      <c r="Q117" s="53">
        <v>1</v>
      </c>
      <c r="R117" s="48" t="s">
        <v>5317</v>
      </c>
      <c r="S117" s="48" t="s">
        <v>5489</v>
      </c>
      <c r="T117" s="48" t="s">
        <v>5319</v>
      </c>
      <c r="U117" s="48" t="s">
        <v>5320</v>
      </c>
      <c r="V117" s="48" t="s">
        <v>5321</v>
      </c>
      <c r="W117" s="48" t="s">
        <v>5322</v>
      </c>
      <c r="X117" s="48" t="s">
        <v>5323</v>
      </c>
      <c r="Y117" s="48" t="s">
        <v>5324</v>
      </c>
      <c r="Z117" s="48" t="s">
        <v>5997</v>
      </c>
      <c r="AA117" s="48" t="s">
        <v>5998</v>
      </c>
      <c r="AB117" s="51"/>
      <c r="AC117" s="48" t="s">
        <v>5999</v>
      </c>
      <c r="AD117" s="48" t="s">
        <v>5733</v>
      </c>
      <c r="AE117" s="48" t="s">
        <v>5324</v>
      </c>
    </row>
    <row r="118" ht="16.8" spans="1:31">
      <c r="A118" s="43" t="s">
        <v>5309</v>
      </c>
      <c r="B118" s="44">
        <v>46232</v>
      </c>
      <c r="C118" s="43" t="s">
        <v>5310</v>
      </c>
      <c r="D118" s="45">
        <v>46232.5470825579</v>
      </c>
      <c r="E118" s="43" t="s">
        <v>6000</v>
      </c>
      <c r="F118" s="43" t="s">
        <v>5312</v>
      </c>
      <c r="G118" s="43" t="s">
        <v>6001</v>
      </c>
      <c r="H118" s="43"/>
      <c r="I118" s="46">
        <v>2.66</v>
      </c>
      <c r="J118" s="46">
        <v>0</v>
      </c>
      <c r="K118" s="46">
        <v>2.66</v>
      </c>
      <c r="L118" s="43" t="s">
        <v>5314</v>
      </c>
      <c r="M118" s="46">
        <v>0</v>
      </c>
      <c r="N118" s="43"/>
      <c r="O118" s="43" t="s">
        <v>5315</v>
      </c>
      <c r="P118" s="43" t="s">
        <v>5316</v>
      </c>
      <c r="Q118" s="47">
        <v>1</v>
      </c>
      <c r="R118" s="43" t="s">
        <v>5317</v>
      </c>
      <c r="S118" s="43" t="s">
        <v>5489</v>
      </c>
      <c r="T118" s="43" t="s">
        <v>5319</v>
      </c>
      <c r="U118" s="43" t="s">
        <v>5320</v>
      </c>
      <c r="V118" s="43" t="s">
        <v>5321</v>
      </c>
      <c r="W118" s="43" t="s">
        <v>5322</v>
      </c>
      <c r="X118" s="43" t="s">
        <v>5323</v>
      </c>
      <c r="Y118" s="43" t="s">
        <v>5324</v>
      </c>
      <c r="Z118" s="43" t="s">
        <v>6002</v>
      </c>
      <c r="AA118" s="43" t="s">
        <v>6003</v>
      </c>
      <c r="AB118" s="43"/>
      <c r="AC118" s="43" t="s">
        <v>6004</v>
      </c>
      <c r="AD118" s="43" t="s">
        <v>6005</v>
      </c>
      <c r="AE118" s="43" t="s">
        <v>5324</v>
      </c>
    </row>
    <row r="119" s="42" customFormat="1" ht="16.8" spans="1:31">
      <c r="A119" s="48" t="s">
        <v>5309</v>
      </c>
      <c r="B119" s="49">
        <v>46232</v>
      </c>
      <c r="C119" s="48" t="s">
        <v>5310</v>
      </c>
      <c r="D119" s="50">
        <v>46232.5478688889</v>
      </c>
      <c r="E119" s="48" t="s">
        <v>6006</v>
      </c>
      <c r="F119" s="48" t="s">
        <v>5312</v>
      </c>
      <c r="G119" s="48" t="s">
        <v>6007</v>
      </c>
      <c r="H119" s="51"/>
      <c r="I119" s="52">
        <v>0</v>
      </c>
      <c r="J119" s="52">
        <v>0</v>
      </c>
      <c r="K119" s="52">
        <v>2.66</v>
      </c>
      <c r="L119" s="48" t="s">
        <v>5314</v>
      </c>
      <c r="M119" s="52">
        <v>0</v>
      </c>
      <c r="N119" s="51"/>
      <c r="O119" s="48" t="s">
        <v>5315</v>
      </c>
      <c r="P119" s="48" t="s">
        <v>5316</v>
      </c>
      <c r="Q119" s="53">
        <v>1</v>
      </c>
      <c r="R119" s="48" t="s">
        <v>5317</v>
      </c>
      <c r="S119" s="48" t="s">
        <v>5489</v>
      </c>
      <c r="T119" s="48" t="s">
        <v>5319</v>
      </c>
      <c r="U119" s="48" t="s">
        <v>5320</v>
      </c>
      <c r="V119" s="48" t="s">
        <v>5321</v>
      </c>
      <c r="W119" s="48" t="s">
        <v>5322</v>
      </c>
      <c r="X119" s="48" t="s">
        <v>5323</v>
      </c>
      <c r="Y119" s="48" t="s">
        <v>5324</v>
      </c>
      <c r="Z119" s="48" t="s">
        <v>6008</v>
      </c>
      <c r="AA119" s="48" t="s">
        <v>6009</v>
      </c>
      <c r="AB119" s="51"/>
      <c r="AC119" s="48" t="s">
        <v>6010</v>
      </c>
      <c r="AD119" s="48" t="s">
        <v>6011</v>
      </c>
      <c r="AE119" s="48" t="s">
        <v>5324</v>
      </c>
    </row>
    <row r="120" ht="16.8" spans="1:31">
      <c r="A120" s="43" t="s">
        <v>5309</v>
      </c>
      <c r="B120" s="44">
        <v>46232</v>
      </c>
      <c r="C120" s="43" t="s">
        <v>5310</v>
      </c>
      <c r="D120" s="45">
        <v>46232.5486615046</v>
      </c>
      <c r="E120" s="43" t="s">
        <v>6012</v>
      </c>
      <c r="F120" s="43" t="s">
        <v>5312</v>
      </c>
      <c r="G120" s="43" t="s">
        <v>6013</v>
      </c>
      <c r="H120" s="43"/>
      <c r="I120" s="46">
        <v>2.66</v>
      </c>
      <c r="J120" s="46">
        <v>0</v>
      </c>
      <c r="K120" s="46">
        <v>2.66</v>
      </c>
      <c r="L120" s="43" t="s">
        <v>5314</v>
      </c>
      <c r="M120" s="46">
        <v>0</v>
      </c>
      <c r="N120" s="43"/>
      <c r="O120" s="43" t="s">
        <v>5315</v>
      </c>
      <c r="P120" s="43" t="s">
        <v>5316</v>
      </c>
      <c r="Q120" s="47">
        <v>1</v>
      </c>
      <c r="R120" s="43" t="s">
        <v>5317</v>
      </c>
      <c r="S120" s="43" t="s">
        <v>5489</v>
      </c>
      <c r="T120" s="43" t="s">
        <v>5319</v>
      </c>
      <c r="U120" s="43" t="s">
        <v>5320</v>
      </c>
      <c r="V120" s="43" t="s">
        <v>5321</v>
      </c>
      <c r="W120" s="43" t="s">
        <v>5322</v>
      </c>
      <c r="X120" s="43" t="s">
        <v>5323</v>
      </c>
      <c r="Y120" s="43" t="s">
        <v>5324</v>
      </c>
      <c r="Z120" s="43" t="s">
        <v>6014</v>
      </c>
      <c r="AA120" s="43" t="s">
        <v>5677</v>
      </c>
      <c r="AB120" s="43"/>
      <c r="AC120" s="43" t="s">
        <v>6015</v>
      </c>
      <c r="AD120" s="43" t="s">
        <v>6016</v>
      </c>
      <c r="AE120" s="43" t="s">
        <v>5324</v>
      </c>
    </row>
    <row r="121" ht="16.8" spans="1:31">
      <c r="A121" s="43" t="s">
        <v>5309</v>
      </c>
      <c r="B121" s="44">
        <v>46232</v>
      </c>
      <c r="C121" s="43" t="s">
        <v>5310</v>
      </c>
      <c r="D121" s="45">
        <v>46232.5505354977</v>
      </c>
      <c r="E121" s="43" t="s">
        <v>6017</v>
      </c>
      <c r="F121" s="43" t="s">
        <v>5312</v>
      </c>
      <c r="G121" s="43" t="s">
        <v>6018</v>
      </c>
      <c r="H121" s="43"/>
      <c r="I121" s="46">
        <v>2.66</v>
      </c>
      <c r="J121" s="46">
        <v>0</v>
      </c>
      <c r="K121" s="46">
        <v>2.66</v>
      </c>
      <c r="L121" s="43" t="s">
        <v>5314</v>
      </c>
      <c r="M121" s="46">
        <v>0</v>
      </c>
      <c r="N121" s="43"/>
      <c r="O121" s="43" t="s">
        <v>5315</v>
      </c>
      <c r="P121" s="43" t="s">
        <v>5316</v>
      </c>
      <c r="Q121" s="47">
        <v>1</v>
      </c>
      <c r="R121" s="43" t="s">
        <v>5317</v>
      </c>
      <c r="S121" s="43" t="s">
        <v>5489</v>
      </c>
      <c r="T121" s="43" t="s">
        <v>5319</v>
      </c>
      <c r="U121" s="43" t="s">
        <v>5320</v>
      </c>
      <c r="V121" s="43" t="s">
        <v>5321</v>
      </c>
      <c r="W121" s="43" t="s">
        <v>5322</v>
      </c>
      <c r="X121" s="43" t="s">
        <v>5323</v>
      </c>
      <c r="Y121" s="43" t="s">
        <v>5324</v>
      </c>
      <c r="Z121" s="43" t="s">
        <v>6019</v>
      </c>
      <c r="AA121" s="43" t="s">
        <v>6020</v>
      </c>
      <c r="AB121" s="43"/>
      <c r="AC121" s="43" t="s">
        <v>6021</v>
      </c>
      <c r="AD121" s="43" t="s">
        <v>6022</v>
      </c>
      <c r="AE121" s="43" t="s">
        <v>5324</v>
      </c>
    </row>
    <row r="122" ht="16.8" spans="1:31">
      <c r="A122" s="43" t="s">
        <v>5309</v>
      </c>
      <c r="B122" s="44">
        <v>46232</v>
      </c>
      <c r="C122" s="43" t="s">
        <v>5310</v>
      </c>
      <c r="D122" s="45">
        <v>46232.5515741551</v>
      </c>
      <c r="E122" s="43" t="s">
        <v>6023</v>
      </c>
      <c r="F122" s="43" t="s">
        <v>5312</v>
      </c>
      <c r="G122" s="43" t="s">
        <v>6001</v>
      </c>
      <c r="H122" s="43"/>
      <c r="I122" s="46">
        <v>1.8</v>
      </c>
      <c r="J122" s="46">
        <v>0</v>
      </c>
      <c r="K122" s="46">
        <v>1.8</v>
      </c>
      <c r="L122" s="43" t="s">
        <v>5314</v>
      </c>
      <c r="M122" s="46">
        <v>0</v>
      </c>
      <c r="N122" s="43"/>
      <c r="O122" s="43" t="s">
        <v>5315</v>
      </c>
      <c r="P122" s="43" t="s">
        <v>5316</v>
      </c>
      <c r="Q122" s="47">
        <v>1</v>
      </c>
      <c r="R122" s="43" t="s">
        <v>5317</v>
      </c>
      <c r="S122" s="43" t="s">
        <v>5502</v>
      </c>
      <c r="T122" s="43" t="s">
        <v>5319</v>
      </c>
      <c r="U122" s="43" t="s">
        <v>5320</v>
      </c>
      <c r="V122" s="43" t="s">
        <v>5321</v>
      </c>
      <c r="W122" s="43" t="s">
        <v>5322</v>
      </c>
      <c r="X122" s="43" t="s">
        <v>5323</v>
      </c>
      <c r="Y122" s="43" t="s">
        <v>5324</v>
      </c>
      <c r="Z122" s="43" t="s">
        <v>6024</v>
      </c>
      <c r="AA122" s="43" t="s">
        <v>6025</v>
      </c>
      <c r="AB122" s="43"/>
      <c r="AC122" s="43" t="s">
        <v>6004</v>
      </c>
      <c r="AD122" s="43" t="s">
        <v>6005</v>
      </c>
      <c r="AE122" s="43" t="s">
        <v>5324</v>
      </c>
    </row>
    <row r="123" s="42" customFormat="1" ht="16.8" spans="1:31">
      <c r="A123" s="48" t="s">
        <v>5309</v>
      </c>
      <c r="B123" s="49">
        <v>46232</v>
      </c>
      <c r="C123" s="48" t="s">
        <v>5310</v>
      </c>
      <c r="D123" s="50">
        <v>46232.5524123148</v>
      </c>
      <c r="E123" s="48" t="s">
        <v>6026</v>
      </c>
      <c r="F123" s="48" t="s">
        <v>5312</v>
      </c>
      <c r="G123" s="48" t="s">
        <v>6027</v>
      </c>
      <c r="H123" s="51"/>
      <c r="I123" s="52">
        <v>0</v>
      </c>
      <c r="J123" s="52">
        <v>0</v>
      </c>
      <c r="K123" s="52">
        <v>3.64</v>
      </c>
      <c r="L123" s="48" t="s">
        <v>5314</v>
      </c>
      <c r="M123" s="52">
        <v>0</v>
      </c>
      <c r="N123" s="51"/>
      <c r="O123" s="48" t="s">
        <v>5315</v>
      </c>
      <c r="P123" s="48" t="s">
        <v>5316</v>
      </c>
      <c r="Q123" s="53">
        <v>1</v>
      </c>
      <c r="R123" s="48" t="s">
        <v>5317</v>
      </c>
      <c r="S123" s="48" t="s">
        <v>5489</v>
      </c>
      <c r="T123" s="48" t="s">
        <v>5319</v>
      </c>
      <c r="U123" s="48" t="s">
        <v>5320</v>
      </c>
      <c r="V123" s="48" t="s">
        <v>5321</v>
      </c>
      <c r="W123" s="48" t="s">
        <v>5322</v>
      </c>
      <c r="X123" s="48" t="s">
        <v>5323</v>
      </c>
      <c r="Y123" s="48" t="s">
        <v>5324</v>
      </c>
      <c r="Z123" s="48" t="s">
        <v>6028</v>
      </c>
      <c r="AA123" s="48" t="s">
        <v>5553</v>
      </c>
      <c r="AB123" s="51"/>
      <c r="AC123" s="48" t="s">
        <v>6029</v>
      </c>
      <c r="AD123" s="48" t="s">
        <v>6030</v>
      </c>
      <c r="AE123" s="48" t="s">
        <v>5324</v>
      </c>
    </row>
    <row r="124" ht="16.8" spans="1:31">
      <c r="A124" s="43" t="s">
        <v>5309</v>
      </c>
      <c r="B124" s="44">
        <v>46232</v>
      </c>
      <c r="C124" s="43" t="s">
        <v>5310</v>
      </c>
      <c r="D124" s="45">
        <v>46232.5531453472</v>
      </c>
      <c r="E124" s="43" t="s">
        <v>6031</v>
      </c>
      <c r="F124" s="43" t="s">
        <v>5312</v>
      </c>
      <c r="G124" s="43" t="s">
        <v>6032</v>
      </c>
      <c r="H124" s="43"/>
      <c r="I124" s="46">
        <v>2.66</v>
      </c>
      <c r="J124" s="46">
        <v>0</v>
      </c>
      <c r="K124" s="46">
        <v>2.66</v>
      </c>
      <c r="L124" s="43" t="s">
        <v>5314</v>
      </c>
      <c r="M124" s="46">
        <v>0</v>
      </c>
      <c r="N124" s="43"/>
      <c r="O124" s="43" t="s">
        <v>5315</v>
      </c>
      <c r="P124" s="43" t="s">
        <v>5316</v>
      </c>
      <c r="Q124" s="47">
        <v>1</v>
      </c>
      <c r="R124" s="43" t="s">
        <v>5317</v>
      </c>
      <c r="S124" s="43" t="s">
        <v>5489</v>
      </c>
      <c r="T124" s="43" t="s">
        <v>5319</v>
      </c>
      <c r="U124" s="43" t="s">
        <v>5320</v>
      </c>
      <c r="V124" s="43" t="s">
        <v>5321</v>
      </c>
      <c r="W124" s="43" t="s">
        <v>5322</v>
      </c>
      <c r="X124" s="43" t="s">
        <v>5323</v>
      </c>
      <c r="Y124" s="43" t="s">
        <v>5324</v>
      </c>
      <c r="Z124" s="43" t="s">
        <v>6033</v>
      </c>
      <c r="AA124" s="43" t="s">
        <v>6034</v>
      </c>
      <c r="AB124" s="43"/>
      <c r="AC124" s="43" t="s">
        <v>6035</v>
      </c>
      <c r="AD124" s="43" t="s">
        <v>6036</v>
      </c>
      <c r="AE124" s="43" t="s">
        <v>5324</v>
      </c>
    </row>
    <row r="125" ht="16.8" spans="1:31">
      <c r="A125" s="43" t="s">
        <v>5309</v>
      </c>
      <c r="B125" s="44">
        <v>46232</v>
      </c>
      <c r="C125" s="43" t="s">
        <v>5310</v>
      </c>
      <c r="D125" s="45">
        <v>46232.5538922106</v>
      </c>
      <c r="E125" s="43" t="s">
        <v>6037</v>
      </c>
      <c r="F125" s="43" t="s">
        <v>5312</v>
      </c>
      <c r="G125" s="43" t="s">
        <v>6038</v>
      </c>
      <c r="H125" s="43"/>
      <c r="I125" s="46">
        <v>2.66</v>
      </c>
      <c r="J125" s="46">
        <v>0</v>
      </c>
      <c r="K125" s="46">
        <v>2.66</v>
      </c>
      <c r="L125" s="43" t="s">
        <v>5314</v>
      </c>
      <c r="M125" s="46">
        <v>0</v>
      </c>
      <c r="N125" s="43"/>
      <c r="O125" s="43" t="s">
        <v>5315</v>
      </c>
      <c r="P125" s="43" t="s">
        <v>5316</v>
      </c>
      <c r="Q125" s="47">
        <v>1</v>
      </c>
      <c r="R125" s="43" t="s">
        <v>5317</v>
      </c>
      <c r="S125" s="43" t="s">
        <v>5489</v>
      </c>
      <c r="T125" s="43" t="s">
        <v>5319</v>
      </c>
      <c r="U125" s="43" t="s">
        <v>5320</v>
      </c>
      <c r="V125" s="43" t="s">
        <v>5321</v>
      </c>
      <c r="W125" s="43" t="s">
        <v>5322</v>
      </c>
      <c r="X125" s="43" t="s">
        <v>5323</v>
      </c>
      <c r="Y125" s="43" t="s">
        <v>5324</v>
      </c>
      <c r="Z125" s="43" t="s">
        <v>6039</v>
      </c>
      <c r="AA125" s="43" t="s">
        <v>6040</v>
      </c>
      <c r="AB125" s="43"/>
      <c r="AC125" s="43" t="s">
        <v>6041</v>
      </c>
      <c r="AD125" s="43" t="s">
        <v>6042</v>
      </c>
      <c r="AE125" s="43" t="s">
        <v>5324</v>
      </c>
    </row>
    <row r="126" ht="16.8" spans="1:31">
      <c r="A126" s="43" t="s">
        <v>5309</v>
      </c>
      <c r="B126" s="44">
        <v>46232</v>
      </c>
      <c r="C126" s="43" t="s">
        <v>5310</v>
      </c>
      <c r="D126" s="45">
        <v>46232.5546852546</v>
      </c>
      <c r="E126" s="43" t="s">
        <v>6043</v>
      </c>
      <c r="F126" s="43" t="s">
        <v>5312</v>
      </c>
      <c r="G126" s="43" t="s">
        <v>6044</v>
      </c>
      <c r="H126" s="43"/>
      <c r="I126" s="46">
        <v>2.66</v>
      </c>
      <c r="J126" s="46">
        <v>0</v>
      </c>
      <c r="K126" s="46">
        <v>2.66</v>
      </c>
      <c r="L126" s="43" t="s">
        <v>5314</v>
      </c>
      <c r="M126" s="46">
        <v>0</v>
      </c>
      <c r="N126" s="43"/>
      <c r="O126" s="43" t="s">
        <v>5315</v>
      </c>
      <c r="P126" s="43" t="s">
        <v>5316</v>
      </c>
      <c r="Q126" s="47">
        <v>1</v>
      </c>
      <c r="R126" s="43" t="s">
        <v>5317</v>
      </c>
      <c r="S126" s="43" t="s">
        <v>5489</v>
      </c>
      <c r="T126" s="43" t="s">
        <v>5319</v>
      </c>
      <c r="U126" s="43" t="s">
        <v>5320</v>
      </c>
      <c r="V126" s="43" t="s">
        <v>5321</v>
      </c>
      <c r="W126" s="43" t="s">
        <v>5322</v>
      </c>
      <c r="X126" s="43" t="s">
        <v>5323</v>
      </c>
      <c r="Y126" s="43" t="s">
        <v>5324</v>
      </c>
      <c r="Z126" s="43" t="s">
        <v>6045</v>
      </c>
      <c r="AA126" s="43" t="s">
        <v>6045</v>
      </c>
      <c r="AB126" s="43"/>
      <c r="AC126" s="43" t="s">
        <v>6046</v>
      </c>
      <c r="AD126" s="43" t="s">
        <v>6047</v>
      </c>
      <c r="AE126" s="43" t="s">
        <v>5324</v>
      </c>
    </row>
    <row r="127" ht="16.8" spans="1:31">
      <c r="A127" s="43" t="s">
        <v>5309</v>
      </c>
      <c r="B127" s="44">
        <v>46232</v>
      </c>
      <c r="C127" s="43" t="s">
        <v>5310</v>
      </c>
      <c r="D127" s="45">
        <v>46232.5554655556</v>
      </c>
      <c r="E127" s="43" t="s">
        <v>6048</v>
      </c>
      <c r="F127" s="43" t="s">
        <v>5312</v>
      </c>
      <c r="G127" s="43" t="s">
        <v>6049</v>
      </c>
      <c r="H127" s="43"/>
      <c r="I127" s="46">
        <v>2.66</v>
      </c>
      <c r="J127" s="46">
        <v>0</v>
      </c>
      <c r="K127" s="46">
        <v>2.66</v>
      </c>
      <c r="L127" s="43" t="s">
        <v>5314</v>
      </c>
      <c r="M127" s="46">
        <v>0</v>
      </c>
      <c r="N127" s="43"/>
      <c r="O127" s="43" t="s">
        <v>5315</v>
      </c>
      <c r="P127" s="43" t="s">
        <v>5316</v>
      </c>
      <c r="Q127" s="47">
        <v>1</v>
      </c>
      <c r="R127" s="43" t="s">
        <v>5317</v>
      </c>
      <c r="S127" s="43" t="s">
        <v>5489</v>
      </c>
      <c r="T127" s="43" t="s">
        <v>5319</v>
      </c>
      <c r="U127" s="43" t="s">
        <v>5320</v>
      </c>
      <c r="V127" s="43" t="s">
        <v>5321</v>
      </c>
      <c r="W127" s="43" t="s">
        <v>5322</v>
      </c>
      <c r="X127" s="43" t="s">
        <v>5323</v>
      </c>
      <c r="Y127" s="43" t="s">
        <v>5324</v>
      </c>
      <c r="Z127" s="43" t="s">
        <v>6050</v>
      </c>
      <c r="AA127" s="43" t="s">
        <v>6051</v>
      </c>
      <c r="AB127" s="43"/>
      <c r="AC127" s="43" t="s">
        <v>6052</v>
      </c>
      <c r="AD127" s="43" t="s">
        <v>6053</v>
      </c>
      <c r="AE127" s="43" t="s">
        <v>5324</v>
      </c>
    </row>
    <row r="128" ht="16.8" spans="1:31">
      <c r="A128" s="43" t="s">
        <v>5309</v>
      </c>
      <c r="B128" s="44">
        <v>46232</v>
      </c>
      <c r="C128" s="43" t="s">
        <v>5310</v>
      </c>
      <c r="D128" s="45">
        <v>46232.5561911921</v>
      </c>
      <c r="E128" s="43" t="s">
        <v>6054</v>
      </c>
      <c r="F128" s="43" t="s">
        <v>5312</v>
      </c>
      <c r="G128" s="43" t="s">
        <v>6055</v>
      </c>
      <c r="H128" s="43"/>
      <c r="I128" s="46">
        <v>2.66</v>
      </c>
      <c r="J128" s="46">
        <v>0</v>
      </c>
      <c r="K128" s="46">
        <v>2.66</v>
      </c>
      <c r="L128" s="43" t="s">
        <v>5314</v>
      </c>
      <c r="M128" s="46">
        <v>0</v>
      </c>
      <c r="N128" s="43"/>
      <c r="O128" s="43" t="s">
        <v>5315</v>
      </c>
      <c r="P128" s="43" t="s">
        <v>5316</v>
      </c>
      <c r="Q128" s="47">
        <v>1</v>
      </c>
      <c r="R128" s="43" t="s">
        <v>5317</v>
      </c>
      <c r="S128" s="43" t="s">
        <v>5489</v>
      </c>
      <c r="T128" s="43" t="s">
        <v>5319</v>
      </c>
      <c r="U128" s="43" t="s">
        <v>5320</v>
      </c>
      <c r="V128" s="43" t="s">
        <v>5321</v>
      </c>
      <c r="W128" s="43" t="s">
        <v>5322</v>
      </c>
      <c r="X128" s="43" t="s">
        <v>5323</v>
      </c>
      <c r="Y128" s="43" t="s">
        <v>5324</v>
      </c>
      <c r="Z128" s="43" t="s">
        <v>6056</v>
      </c>
      <c r="AA128" s="43" t="s">
        <v>5414</v>
      </c>
      <c r="AB128" s="43"/>
      <c r="AC128" s="43" t="s">
        <v>6057</v>
      </c>
      <c r="AD128" s="43" t="s">
        <v>6058</v>
      </c>
      <c r="AE128" s="43" t="s">
        <v>5324</v>
      </c>
    </row>
    <row r="129" ht="16.8" spans="1:31">
      <c r="A129" s="43" t="s">
        <v>5309</v>
      </c>
      <c r="B129" s="44">
        <v>46232</v>
      </c>
      <c r="C129" s="43" t="s">
        <v>5310</v>
      </c>
      <c r="D129" s="45">
        <v>46232.5572884954</v>
      </c>
      <c r="E129" s="43" t="s">
        <v>6059</v>
      </c>
      <c r="F129" s="43" t="s">
        <v>5312</v>
      </c>
      <c r="G129" s="43" t="s">
        <v>6060</v>
      </c>
      <c r="H129" s="43"/>
      <c r="I129" s="46">
        <v>2.66</v>
      </c>
      <c r="J129" s="46">
        <v>0</v>
      </c>
      <c r="K129" s="46">
        <v>2.66</v>
      </c>
      <c r="L129" s="43" t="s">
        <v>5314</v>
      </c>
      <c r="M129" s="46">
        <v>0</v>
      </c>
      <c r="N129" s="43"/>
      <c r="O129" s="43" t="s">
        <v>5315</v>
      </c>
      <c r="P129" s="43" t="s">
        <v>5316</v>
      </c>
      <c r="Q129" s="47">
        <v>1</v>
      </c>
      <c r="R129" s="43" t="s">
        <v>5317</v>
      </c>
      <c r="S129" s="43" t="s">
        <v>5489</v>
      </c>
      <c r="T129" s="43" t="s">
        <v>5319</v>
      </c>
      <c r="U129" s="43" t="s">
        <v>5320</v>
      </c>
      <c r="V129" s="43" t="s">
        <v>5321</v>
      </c>
      <c r="W129" s="43" t="s">
        <v>5322</v>
      </c>
      <c r="X129" s="43" t="s">
        <v>5323</v>
      </c>
      <c r="Y129" s="43" t="s">
        <v>5324</v>
      </c>
      <c r="Z129" s="43" t="s">
        <v>6061</v>
      </c>
      <c r="AA129" s="43" t="s">
        <v>5930</v>
      </c>
      <c r="AB129" s="43"/>
      <c r="AC129" s="43" t="s">
        <v>6062</v>
      </c>
      <c r="AD129" s="43" t="s">
        <v>6063</v>
      </c>
      <c r="AE129" s="43" t="s">
        <v>5324</v>
      </c>
    </row>
    <row r="130" s="42" customFormat="1" ht="16.8" spans="1:31">
      <c r="A130" s="48" t="s">
        <v>5309</v>
      </c>
      <c r="B130" s="49">
        <v>46232</v>
      </c>
      <c r="C130" s="48" t="s">
        <v>5310</v>
      </c>
      <c r="D130" s="50">
        <v>46232.5580749537</v>
      </c>
      <c r="E130" s="48" t="s">
        <v>6064</v>
      </c>
      <c r="F130" s="48" t="s">
        <v>5312</v>
      </c>
      <c r="G130" s="48" t="s">
        <v>5984</v>
      </c>
      <c r="H130" s="51"/>
      <c r="I130" s="52">
        <v>0</v>
      </c>
      <c r="J130" s="52">
        <v>0</v>
      </c>
      <c r="K130" s="52">
        <v>2.66</v>
      </c>
      <c r="L130" s="48" t="s">
        <v>5314</v>
      </c>
      <c r="M130" s="52">
        <v>0</v>
      </c>
      <c r="N130" s="51"/>
      <c r="O130" s="48" t="s">
        <v>5315</v>
      </c>
      <c r="P130" s="48" t="s">
        <v>5316</v>
      </c>
      <c r="Q130" s="53">
        <v>1</v>
      </c>
      <c r="R130" s="48" t="s">
        <v>5317</v>
      </c>
      <c r="S130" s="48" t="s">
        <v>5489</v>
      </c>
      <c r="T130" s="48" t="s">
        <v>5319</v>
      </c>
      <c r="U130" s="48" t="s">
        <v>5320</v>
      </c>
      <c r="V130" s="48" t="s">
        <v>5321</v>
      </c>
      <c r="W130" s="48" t="s">
        <v>5322</v>
      </c>
      <c r="X130" s="48" t="s">
        <v>5323</v>
      </c>
      <c r="Y130" s="48" t="s">
        <v>5324</v>
      </c>
      <c r="Z130" s="48" t="s">
        <v>5985</v>
      </c>
      <c r="AA130" s="48" t="s">
        <v>5986</v>
      </c>
      <c r="AB130" s="51"/>
      <c r="AC130" s="48" t="s">
        <v>5987</v>
      </c>
      <c r="AD130" s="48" t="s">
        <v>5988</v>
      </c>
      <c r="AE130" s="48" t="s">
        <v>5324</v>
      </c>
    </row>
    <row r="131" ht="16.8" spans="1:31">
      <c r="A131" s="43" t="s">
        <v>5309</v>
      </c>
      <c r="B131" s="44">
        <v>46232</v>
      </c>
      <c r="C131" s="43" t="s">
        <v>5310</v>
      </c>
      <c r="D131" s="45">
        <v>46232.5931399537</v>
      </c>
      <c r="E131" s="43" t="s">
        <v>6065</v>
      </c>
      <c r="F131" s="43" t="s">
        <v>5312</v>
      </c>
      <c r="G131" s="43" t="s">
        <v>6066</v>
      </c>
      <c r="H131" s="43"/>
      <c r="I131" s="46">
        <v>2.66</v>
      </c>
      <c r="J131" s="46">
        <v>0</v>
      </c>
      <c r="K131" s="46">
        <v>2.66</v>
      </c>
      <c r="L131" s="43" t="s">
        <v>5314</v>
      </c>
      <c r="M131" s="46">
        <v>0</v>
      </c>
      <c r="N131" s="43"/>
      <c r="O131" s="43" t="s">
        <v>5315</v>
      </c>
      <c r="P131" s="43" t="s">
        <v>5316</v>
      </c>
      <c r="Q131" s="47">
        <v>1</v>
      </c>
      <c r="R131" s="43" t="s">
        <v>5317</v>
      </c>
      <c r="S131" s="43" t="s">
        <v>5489</v>
      </c>
      <c r="T131" s="43" t="s">
        <v>5319</v>
      </c>
      <c r="U131" s="43" t="s">
        <v>5320</v>
      </c>
      <c r="V131" s="43" t="s">
        <v>5321</v>
      </c>
      <c r="W131" s="43" t="s">
        <v>5322</v>
      </c>
      <c r="X131" s="43" t="s">
        <v>5323</v>
      </c>
      <c r="Y131" s="43" t="s">
        <v>5324</v>
      </c>
      <c r="Z131" s="43" t="s">
        <v>6067</v>
      </c>
      <c r="AA131" s="43" t="s">
        <v>6068</v>
      </c>
      <c r="AB131" s="43"/>
      <c r="AC131" s="43" t="s">
        <v>6069</v>
      </c>
      <c r="AD131" s="43" t="s">
        <v>6070</v>
      </c>
      <c r="AE131" s="43" t="s">
        <v>5324</v>
      </c>
    </row>
    <row r="132" ht="16.8" spans="1:31">
      <c r="A132" s="43" t="s">
        <v>5309</v>
      </c>
      <c r="B132" s="44">
        <v>46232</v>
      </c>
      <c r="C132" s="43" t="s">
        <v>5310</v>
      </c>
      <c r="D132" s="45">
        <v>46232.5941937037</v>
      </c>
      <c r="E132" s="43" t="s">
        <v>6071</v>
      </c>
      <c r="F132" s="43" t="s">
        <v>5312</v>
      </c>
      <c r="G132" s="43" t="s">
        <v>6072</v>
      </c>
      <c r="H132" s="43"/>
      <c r="I132" s="46">
        <v>1.8</v>
      </c>
      <c r="J132" s="46">
        <v>0</v>
      </c>
      <c r="K132" s="46">
        <v>1.8</v>
      </c>
      <c r="L132" s="43" t="s">
        <v>5314</v>
      </c>
      <c r="M132" s="46">
        <v>0</v>
      </c>
      <c r="N132" s="43"/>
      <c r="O132" s="43" t="s">
        <v>5315</v>
      </c>
      <c r="P132" s="43" t="s">
        <v>5316</v>
      </c>
      <c r="Q132" s="47">
        <v>1</v>
      </c>
      <c r="R132" s="43" t="s">
        <v>5317</v>
      </c>
      <c r="S132" s="43" t="s">
        <v>5502</v>
      </c>
      <c r="T132" s="43" t="s">
        <v>5319</v>
      </c>
      <c r="U132" s="43" t="s">
        <v>5320</v>
      </c>
      <c r="V132" s="43" t="s">
        <v>5321</v>
      </c>
      <c r="W132" s="43" t="s">
        <v>5322</v>
      </c>
      <c r="X132" s="43" t="s">
        <v>5323</v>
      </c>
      <c r="Y132" s="43" t="s">
        <v>5324</v>
      </c>
      <c r="Z132" s="43" t="s">
        <v>6073</v>
      </c>
      <c r="AA132" s="43" t="s">
        <v>6074</v>
      </c>
      <c r="AB132" s="43"/>
      <c r="AC132" s="43" t="s">
        <v>6075</v>
      </c>
      <c r="AD132" s="43" t="s">
        <v>6076</v>
      </c>
      <c r="AE132" s="43" t="s">
        <v>5324</v>
      </c>
    </row>
    <row r="133" ht="16.8" spans="1:31">
      <c r="A133" s="43" t="s">
        <v>5309</v>
      </c>
      <c r="B133" s="44">
        <v>46232</v>
      </c>
      <c r="C133" s="43" t="s">
        <v>5310</v>
      </c>
      <c r="D133" s="45">
        <v>46232.5952959375</v>
      </c>
      <c r="E133" s="43" t="s">
        <v>6077</v>
      </c>
      <c r="F133" s="43" t="s">
        <v>5312</v>
      </c>
      <c r="G133" s="43" t="s">
        <v>6078</v>
      </c>
      <c r="H133" s="43"/>
      <c r="I133" s="46">
        <v>2.66</v>
      </c>
      <c r="J133" s="46">
        <v>0</v>
      </c>
      <c r="K133" s="46">
        <v>2.66</v>
      </c>
      <c r="L133" s="43" t="s">
        <v>5314</v>
      </c>
      <c r="M133" s="46">
        <v>0</v>
      </c>
      <c r="N133" s="43"/>
      <c r="O133" s="43" t="s">
        <v>5315</v>
      </c>
      <c r="P133" s="43" t="s">
        <v>5316</v>
      </c>
      <c r="Q133" s="47">
        <v>1</v>
      </c>
      <c r="R133" s="43" t="s">
        <v>5317</v>
      </c>
      <c r="S133" s="43" t="s">
        <v>5502</v>
      </c>
      <c r="T133" s="43" t="s">
        <v>5319</v>
      </c>
      <c r="U133" s="43" t="s">
        <v>5320</v>
      </c>
      <c r="V133" s="43" t="s">
        <v>5321</v>
      </c>
      <c r="W133" s="43" t="s">
        <v>5322</v>
      </c>
      <c r="X133" s="43" t="s">
        <v>5323</v>
      </c>
      <c r="Y133" s="43" t="s">
        <v>5324</v>
      </c>
      <c r="Z133" s="43" t="s">
        <v>6079</v>
      </c>
      <c r="AA133" s="43" t="s">
        <v>5371</v>
      </c>
      <c r="AB133" s="43"/>
      <c r="AC133" s="43" t="s">
        <v>6080</v>
      </c>
      <c r="AD133" s="43" t="s">
        <v>6081</v>
      </c>
      <c r="AE133" s="43" t="s">
        <v>5324</v>
      </c>
    </row>
    <row r="134" ht="16.8" spans="1:31">
      <c r="A134" s="43" t="s">
        <v>5309</v>
      </c>
      <c r="B134" s="44">
        <v>46232</v>
      </c>
      <c r="C134" s="43" t="s">
        <v>5310</v>
      </c>
      <c r="D134" s="45">
        <v>46232.5964990394</v>
      </c>
      <c r="E134" s="43" t="s">
        <v>6082</v>
      </c>
      <c r="F134" s="43" t="s">
        <v>5312</v>
      </c>
      <c r="G134" s="43" t="s">
        <v>6083</v>
      </c>
      <c r="H134" s="43"/>
      <c r="I134" s="46">
        <v>1.8</v>
      </c>
      <c r="J134" s="46">
        <v>0</v>
      </c>
      <c r="K134" s="46">
        <v>1.8</v>
      </c>
      <c r="L134" s="43" t="s">
        <v>5314</v>
      </c>
      <c r="M134" s="46">
        <v>0</v>
      </c>
      <c r="N134" s="43"/>
      <c r="O134" s="43" t="s">
        <v>5315</v>
      </c>
      <c r="P134" s="43" t="s">
        <v>5316</v>
      </c>
      <c r="Q134" s="47">
        <v>1</v>
      </c>
      <c r="R134" s="43" t="s">
        <v>5317</v>
      </c>
      <c r="S134" s="43" t="s">
        <v>5599</v>
      </c>
      <c r="T134" s="43" t="s">
        <v>5319</v>
      </c>
      <c r="U134" s="43" t="s">
        <v>5320</v>
      </c>
      <c r="V134" s="43" t="s">
        <v>5321</v>
      </c>
      <c r="W134" s="43" t="s">
        <v>5322</v>
      </c>
      <c r="X134" s="43" t="s">
        <v>5323</v>
      </c>
      <c r="Y134" s="43" t="s">
        <v>5324</v>
      </c>
      <c r="Z134" s="43" t="s">
        <v>6084</v>
      </c>
      <c r="AA134" s="43" t="s">
        <v>6085</v>
      </c>
      <c r="AB134" s="43"/>
      <c r="AC134" s="43" t="s">
        <v>6086</v>
      </c>
      <c r="AD134" s="43" t="s">
        <v>6087</v>
      </c>
      <c r="AE134" s="43" t="s">
        <v>5324</v>
      </c>
    </row>
    <row r="135" ht="16.8" spans="1:31">
      <c r="A135" s="43" t="s">
        <v>5309</v>
      </c>
      <c r="B135" s="44">
        <v>46232</v>
      </c>
      <c r="C135" s="43" t="s">
        <v>5310</v>
      </c>
      <c r="D135" s="45">
        <v>46232.5973363079</v>
      </c>
      <c r="E135" s="43" t="s">
        <v>6088</v>
      </c>
      <c r="F135" s="43" t="s">
        <v>5312</v>
      </c>
      <c r="G135" s="43" t="s">
        <v>6089</v>
      </c>
      <c r="H135" s="43"/>
      <c r="I135" s="46">
        <v>2.66</v>
      </c>
      <c r="J135" s="46">
        <v>0</v>
      </c>
      <c r="K135" s="46">
        <v>2.66</v>
      </c>
      <c r="L135" s="43" t="s">
        <v>5314</v>
      </c>
      <c r="M135" s="46">
        <v>0</v>
      </c>
      <c r="N135" s="43"/>
      <c r="O135" s="43" t="s">
        <v>5315</v>
      </c>
      <c r="P135" s="43" t="s">
        <v>5316</v>
      </c>
      <c r="Q135" s="47">
        <v>1</v>
      </c>
      <c r="R135" s="43" t="s">
        <v>5317</v>
      </c>
      <c r="S135" s="43" t="s">
        <v>5489</v>
      </c>
      <c r="T135" s="43" t="s">
        <v>5319</v>
      </c>
      <c r="U135" s="43" t="s">
        <v>5320</v>
      </c>
      <c r="V135" s="43" t="s">
        <v>5321</v>
      </c>
      <c r="W135" s="43" t="s">
        <v>5322</v>
      </c>
      <c r="X135" s="43" t="s">
        <v>5323</v>
      </c>
      <c r="Y135" s="43" t="s">
        <v>5324</v>
      </c>
      <c r="Z135" s="43" t="s">
        <v>6090</v>
      </c>
      <c r="AA135" s="43" t="s">
        <v>6091</v>
      </c>
      <c r="AB135" s="43"/>
      <c r="AC135" s="43" t="s">
        <v>6092</v>
      </c>
      <c r="AD135" s="43" t="s">
        <v>6093</v>
      </c>
      <c r="AE135" s="43" t="s">
        <v>5324</v>
      </c>
    </row>
    <row r="136" ht="16.8" spans="1:31">
      <c r="A136" s="43" t="s">
        <v>5309</v>
      </c>
      <c r="B136" s="44">
        <v>46232</v>
      </c>
      <c r="C136" s="43" t="s">
        <v>5310</v>
      </c>
      <c r="D136" s="45">
        <v>46232.5981229167</v>
      </c>
      <c r="E136" s="43" t="s">
        <v>6094</v>
      </c>
      <c r="F136" s="43" t="s">
        <v>5312</v>
      </c>
      <c r="G136" s="43" t="s">
        <v>5363</v>
      </c>
      <c r="H136" s="43"/>
      <c r="I136" s="46">
        <v>2.66</v>
      </c>
      <c r="J136" s="46">
        <v>0</v>
      </c>
      <c r="K136" s="46">
        <v>2.66</v>
      </c>
      <c r="L136" s="43" t="s">
        <v>5314</v>
      </c>
      <c r="M136" s="46">
        <v>0</v>
      </c>
      <c r="N136" s="43"/>
      <c r="O136" s="43" t="s">
        <v>5315</v>
      </c>
      <c r="P136" s="43" t="s">
        <v>5316</v>
      </c>
      <c r="Q136" s="47">
        <v>1</v>
      </c>
      <c r="R136" s="43" t="s">
        <v>5317</v>
      </c>
      <c r="S136" s="43" t="s">
        <v>5489</v>
      </c>
      <c r="T136" s="43" t="s">
        <v>5319</v>
      </c>
      <c r="U136" s="43" t="s">
        <v>5320</v>
      </c>
      <c r="V136" s="43" t="s">
        <v>5321</v>
      </c>
      <c r="W136" s="43" t="s">
        <v>5322</v>
      </c>
      <c r="X136" s="43" t="s">
        <v>5323</v>
      </c>
      <c r="Y136" s="43" t="s">
        <v>5324</v>
      </c>
      <c r="Z136" s="43" t="s">
        <v>5364</v>
      </c>
      <c r="AA136" s="43" t="s">
        <v>5365</v>
      </c>
      <c r="AB136" s="43"/>
      <c r="AC136" s="43" t="s">
        <v>5366</v>
      </c>
      <c r="AD136" s="43" t="s">
        <v>5367</v>
      </c>
      <c r="AE136" s="43" t="s">
        <v>5324</v>
      </c>
    </row>
    <row r="137" s="42" customFormat="1" ht="16.8" spans="1:31">
      <c r="A137" s="48" t="s">
        <v>5309</v>
      </c>
      <c r="B137" s="49">
        <v>46232</v>
      </c>
      <c r="C137" s="48" t="s">
        <v>5310</v>
      </c>
      <c r="D137" s="50">
        <v>46232.5990112037</v>
      </c>
      <c r="E137" s="48" t="s">
        <v>6095</v>
      </c>
      <c r="F137" s="48" t="s">
        <v>5312</v>
      </c>
      <c r="G137" s="48" t="s">
        <v>5753</v>
      </c>
      <c r="H137" s="51"/>
      <c r="I137" s="52">
        <v>0</v>
      </c>
      <c r="J137" s="52">
        <v>0</v>
      </c>
      <c r="K137" s="52">
        <v>3.64</v>
      </c>
      <c r="L137" s="48" t="s">
        <v>5314</v>
      </c>
      <c r="M137" s="52">
        <v>0</v>
      </c>
      <c r="N137" s="51"/>
      <c r="O137" s="48" t="s">
        <v>5315</v>
      </c>
      <c r="P137" s="48" t="s">
        <v>5316</v>
      </c>
      <c r="Q137" s="53">
        <v>1</v>
      </c>
      <c r="R137" s="48" t="s">
        <v>5317</v>
      </c>
      <c r="S137" s="48" t="s">
        <v>5489</v>
      </c>
      <c r="T137" s="48" t="s">
        <v>5319</v>
      </c>
      <c r="U137" s="48" t="s">
        <v>5320</v>
      </c>
      <c r="V137" s="48" t="s">
        <v>5321</v>
      </c>
      <c r="W137" s="48" t="s">
        <v>5322</v>
      </c>
      <c r="X137" s="48" t="s">
        <v>5323</v>
      </c>
      <c r="Y137" s="48" t="s">
        <v>5324</v>
      </c>
      <c r="Z137" s="48" t="s">
        <v>5754</v>
      </c>
      <c r="AA137" s="48" t="s">
        <v>5755</v>
      </c>
      <c r="AB137" s="51"/>
      <c r="AC137" s="48" t="s">
        <v>5756</v>
      </c>
      <c r="AD137" s="48" t="s">
        <v>5757</v>
      </c>
      <c r="AE137" s="48" t="s">
        <v>5324</v>
      </c>
    </row>
    <row r="138" s="42" customFormat="1" ht="16.8" spans="1:31">
      <c r="A138" s="48" t="s">
        <v>5309</v>
      </c>
      <c r="B138" s="49">
        <v>46232</v>
      </c>
      <c r="C138" s="48" t="s">
        <v>5310</v>
      </c>
      <c r="D138" s="50">
        <v>46232.60240875</v>
      </c>
      <c r="E138" s="48" t="s">
        <v>6096</v>
      </c>
      <c r="F138" s="48" t="s">
        <v>5312</v>
      </c>
      <c r="G138" s="48" t="s">
        <v>5759</v>
      </c>
      <c r="H138" s="51"/>
      <c r="I138" s="52">
        <v>0</v>
      </c>
      <c r="J138" s="52">
        <v>0</v>
      </c>
      <c r="K138" s="52">
        <v>2.66</v>
      </c>
      <c r="L138" s="48" t="s">
        <v>5314</v>
      </c>
      <c r="M138" s="52">
        <v>0</v>
      </c>
      <c r="N138" s="51"/>
      <c r="O138" s="48" t="s">
        <v>5315</v>
      </c>
      <c r="P138" s="48" t="s">
        <v>5316</v>
      </c>
      <c r="Q138" s="53">
        <v>1</v>
      </c>
      <c r="R138" s="48" t="s">
        <v>5317</v>
      </c>
      <c r="S138" s="48" t="s">
        <v>5489</v>
      </c>
      <c r="T138" s="48" t="s">
        <v>5319</v>
      </c>
      <c r="U138" s="48" t="s">
        <v>5320</v>
      </c>
      <c r="V138" s="48" t="s">
        <v>5321</v>
      </c>
      <c r="W138" s="48" t="s">
        <v>5322</v>
      </c>
      <c r="X138" s="48" t="s">
        <v>5323</v>
      </c>
      <c r="Y138" s="48" t="s">
        <v>5324</v>
      </c>
      <c r="Z138" s="48" t="s">
        <v>5760</v>
      </c>
      <c r="AA138" s="48" t="s">
        <v>5761</v>
      </c>
      <c r="AB138" s="51"/>
      <c r="AC138" s="48" t="s">
        <v>5762</v>
      </c>
      <c r="AD138" s="48" t="s">
        <v>5763</v>
      </c>
      <c r="AE138" s="48" t="s">
        <v>5324</v>
      </c>
    </row>
    <row r="139" s="42" customFormat="1" ht="16.8" spans="1:31">
      <c r="A139" s="48" t="s">
        <v>5309</v>
      </c>
      <c r="B139" s="49">
        <v>46232</v>
      </c>
      <c r="C139" s="48" t="s">
        <v>5310</v>
      </c>
      <c r="D139" s="50">
        <v>46232.6032580787</v>
      </c>
      <c r="E139" s="48" t="s">
        <v>6097</v>
      </c>
      <c r="F139" s="48" t="s">
        <v>5312</v>
      </c>
      <c r="G139" s="48" t="s">
        <v>5765</v>
      </c>
      <c r="H139" s="51"/>
      <c r="I139" s="52">
        <v>0</v>
      </c>
      <c r="J139" s="52">
        <v>0</v>
      </c>
      <c r="K139" s="52">
        <v>2.66</v>
      </c>
      <c r="L139" s="48" t="s">
        <v>5314</v>
      </c>
      <c r="M139" s="52">
        <v>0</v>
      </c>
      <c r="N139" s="51"/>
      <c r="O139" s="48" t="s">
        <v>5315</v>
      </c>
      <c r="P139" s="48" t="s">
        <v>5316</v>
      </c>
      <c r="Q139" s="53">
        <v>1</v>
      </c>
      <c r="R139" s="48" t="s">
        <v>5317</v>
      </c>
      <c r="S139" s="48" t="s">
        <v>5489</v>
      </c>
      <c r="T139" s="48" t="s">
        <v>5319</v>
      </c>
      <c r="U139" s="48" t="s">
        <v>5320</v>
      </c>
      <c r="V139" s="48" t="s">
        <v>5321</v>
      </c>
      <c r="W139" s="48" t="s">
        <v>5322</v>
      </c>
      <c r="X139" s="48" t="s">
        <v>5323</v>
      </c>
      <c r="Y139" s="48" t="s">
        <v>5324</v>
      </c>
      <c r="Z139" s="48" t="s">
        <v>5766</v>
      </c>
      <c r="AA139" s="48" t="s">
        <v>5767</v>
      </c>
      <c r="AB139" s="51"/>
      <c r="AC139" s="48" t="s">
        <v>5768</v>
      </c>
      <c r="AD139" s="48" t="s">
        <v>5769</v>
      </c>
      <c r="AE139" s="48" t="s">
        <v>5324</v>
      </c>
    </row>
    <row r="140" s="42" customFormat="1" ht="16.8" spans="1:31">
      <c r="A140" s="48" t="s">
        <v>5309</v>
      </c>
      <c r="B140" s="49">
        <v>46232</v>
      </c>
      <c r="C140" s="48" t="s">
        <v>5310</v>
      </c>
      <c r="D140" s="50">
        <v>46232.6043164815</v>
      </c>
      <c r="E140" s="48" t="s">
        <v>6098</v>
      </c>
      <c r="F140" s="48" t="s">
        <v>5312</v>
      </c>
      <c r="G140" s="48" t="s">
        <v>5771</v>
      </c>
      <c r="H140" s="51"/>
      <c r="I140" s="52">
        <v>0</v>
      </c>
      <c r="J140" s="52">
        <v>0</v>
      </c>
      <c r="K140" s="52">
        <v>2.66</v>
      </c>
      <c r="L140" s="48" t="s">
        <v>5314</v>
      </c>
      <c r="M140" s="52">
        <v>0</v>
      </c>
      <c r="N140" s="51"/>
      <c r="O140" s="48" t="s">
        <v>5315</v>
      </c>
      <c r="P140" s="48" t="s">
        <v>5316</v>
      </c>
      <c r="Q140" s="53">
        <v>1</v>
      </c>
      <c r="R140" s="48" t="s">
        <v>5317</v>
      </c>
      <c r="S140" s="48" t="s">
        <v>5489</v>
      </c>
      <c r="T140" s="48" t="s">
        <v>5319</v>
      </c>
      <c r="U140" s="48" t="s">
        <v>5320</v>
      </c>
      <c r="V140" s="48" t="s">
        <v>5321</v>
      </c>
      <c r="W140" s="48" t="s">
        <v>5322</v>
      </c>
      <c r="X140" s="48" t="s">
        <v>5323</v>
      </c>
      <c r="Y140" s="48" t="s">
        <v>5324</v>
      </c>
      <c r="Z140" s="48" t="s">
        <v>5772</v>
      </c>
      <c r="AA140" s="48" t="s">
        <v>5773</v>
      </c>
      <c r="AB140" s="51"/>
      <c r="AC140" s="48" t="s">
        <v>5774</v>
      </c>
      <c r="AD140" s="48" t="s">
        <v>5775</v>
      </c>
      <c r="AE140" s="48" t="s">
        <v>5324</v>
      </c>
    </row>
    <row r="141" s="42" customFormat="1" ht="16.8" spans="1:31">
      <c r="A141" s="48" t="s">
        <v>5309</v>
      </c>
      <c r="B141" s="49">
        <v>46232</v>
      </c>
      <c r="C141" s="48" t="s">
        <v>5310</v>
      </c>
      <c r="D141" s="50">
        <v>46232.6052756829</v>
      </c>
      <c r="E141" s="48" t="s">
        <v>6099</v>
      </c>
      <c r="F141" s="48" t="s">
        <v>5312</v>
      </c>
      <c r="G141" s="48" t="s">
        <v>5777</v>
      </c>
      <c r="H141" s="51"/>
      <c r="I141" s="52">
        <v>0</v>
      </c>
      <c r="J141" s="52">
        <v>0</v>
      </c>
      <c r="K141" s="52">
        <v>3.64</v>
      </c>
      <c r="L141" s="48" t="s">
        <v>5314</v>
      </c>
      <c r="M141" s="52">
        <v>0</v>
      </c>
      <c r="N141" s="51"/>
      <c r="O141" s="48" t="s">
        <v>5315</v>
      </c>
      <c r="P141" s="48" t="s">
        <v>5316</v>
      </c>
      <c r="Q141" s="53">
        <v>1</v>
      </c>
      <c r="R141" s="48" t="s">
        <v>5317</v>
      </c>
      <c r="S141" s="48" t="s">
        <v>5489</v>
      </c>
      <c r="T141" s="48" t="s">
        <v>5319</v>
      </c>
      <c r="U141" s="48" t="s">
        <v>5320</v>
      </c>
      <c r="V141" s="48" t="s">
        <v>5321</v>
      </c>
      <c r="W141" s="48" t="s">
        <v>5322</v>
      </c>
      <c r="X141" s="48" t="s">
        <v>5323</v>
      </c>
      <c r="Y141" s="48" t="s">
        <v>5324</v>
      </c>
      <c r="Z141" s="48" t="s">
        <v>5778</v>
      </c>
      <c r="AA141" s="48" t="s">
        <v>5683</v>
      </c>
      <c r="AB141" s="51"/>
      <c r="AC141" s="48" t="s">
        <v>5779</v>
      </c>
      <c r="AD141" s="48" t="s">
        <v>5780</v>
      </c>
      <c r="AE141" s="48" t="s">
        <v>5324</v>
      </c>
    </row>
    <row r="142" s="42" customFormat="1" ht="16.8" spans="1:31">
      <c r="A142" s="48" t="s">
        <v>5309</v>
      </c>
      <c r="B142" s="49">
        <v>46232</v>
      </c>
      <c r="C142" s="48" t="s">
        <v>5310</v>
      </c>
      <c r="D142" s="50">
        <v>46232.6062876157</v>
      </c>
      <c r="E142" s="48" t="s">
        <v>6100</v>
      </c>
      <c r="F142" s="48" t="s">
        <v>5312</v>
      </c>
      <c r="G142" s="48" t="s">
        <v>5782</v>
      </c>
      <c r="H142" s="51"/>
      <c r="I142" s="52">
        <v>0</v>
      </c>
      <c r="J142" s="52">
        <v>0</v>
      </c>
      <c r="K142" s="52">
        <v>3.64</v>
      </c>
      <c r="L142" s="48" t="s">
        <v>5314</v>
      </c>
      <c r="M142" s="52">
        <v>0</v>
      </c>
      <c r="N142" s="51"/>
      <c r="O142" s="48" t="s">
        <v>5315</v>
      </c>
      <c r="P142" s="48" t="s">
        <v>5316</v>
      </c>
      <c r="Q142" s="53">
        <v>1</v>
      </c>
      <c r="R142" s="48" t="s">
        <v>5317</v>
      </c>
      <c r="S142" s="48" t="s">
        <v>5489</v>
      </c>
      <c r="T142" s="48" t="s">
        <v>5319</v>
      </c>
      <c r="U142" s="48" t="s">
        <v>5320</v>
      </c>
      <c r="V142" s="48" t="s">
        <v>5321</v>
      </c>
      <c r="W142" s="48" t="s">
        <v>5322</v>
      </c>
      <c r="X142" s="48" t="s">
        <v>5323</v>
      </c>
      <c r="Y142" s="48" t="s">
        <v>5324</v>
      </c>
      <c r="Z142" s="48" t="s">
        <v>5783</v>
      </c>
      <c r="AA142" s="48" t="s">
        <v>5784</v>
      </c>
      <c r="AB142" s="51"/>
      <c r="AC142" s="48" t="s">
        <v>5785</v>
      </c>
      <c r="AD142" s="48" t="s">
        <v>5786</v>
      </c>
      <c r="AE142" s="48" t="s">
        <v>5324</v>
      </c>
    </row>
    <row r="143" s="42" customFormat="1" ht="16.8" spans="1:31">
      <c r="A143" s="48" t="s">
        <v>5309</v>
      </c>
      <c r="B143" s="49">
        <v>46232</v>
      </c>
      <c r="C143" s="48" t="s">
        <v>5310</v>
      </c>
      <c r="D143" s="50">
        <v>46232.607749456</v>
      </c>
      <c r="E143" s="48" t="s">
        <v>6101</v>
      </c>
      <c r="F143" s="48" t="s">
        <v>5312</v>
      </c>
      <c r="G143" s="48" t="s">
        <v>5788</v>
      </c>
      <c r="H143" s="51"/>
      <c r="I143" s="52">
        <v>0</v>
      </c>
      <c r="J143" s="52">
        <v>0</v>
      </c>
      <c r="K143" s="52">
        <v>3.64</v>
      </c>
      <c r="L143" s="48" t="s">
        <v>5314</v>
      </c>
      <c r="M143" s="52">
        <v>0</v>
      </c>
      <c r="N143" s="51"/>
      <c r="O143" s="48" t="s">
        <v>5315</v>
      </c>
      <c r="P143" s="48" t="s">
        <v>5316</v>
      </c>
      <c r="Q143" s="53">
        <v>1</v>
      </c>
      <c r="R143" s="48" t="s">
        <v>5317</v>
      </c>
      <c r="S143" s="48" t="s">
        <v>5489</v>
      </c>
      <c r="T143" s="48" t="s">
        <v>5319</v>
      </c>
      <c r="U143" s="48" t="s">
        <v>5320</v>
      </c>
      <c r="V143" s="48" t="s">
        <v>5321</v>
      </c>
      <c r="W143" s="48" t="s">
        <v>5322</v>
      </c>
      <c r="X143" s="48" t="s">
        <v>5323</v>
      </c>
      <c r="Y143" s="48" t="s">
        <v>5324</v>
      </c>
      <c r="Z143" s="48" t="s">
        <v>5789</v>
      </c>
      <c r="AA143" s="48" t="s">
        <v>5790</v>
      </c>
      <c r="AB143" s="51"/>
      <c r="AC143" s="48" t="s">
        <v>5791</v>
      </c>
      <c r="AD143" s="48" t="s">
        <v>5792</v>
      </c>
      <c r="AE143" s="48" t="s">
        <v>5324</v>
      </c>
    </row>
    <row r="144" s="42" customFormat="1" ht="16.8" spans="1:31">
      <c r="A144" s="48" t="s">
        <v>5309</v>
      </c>
      <c r="B144" s="49">
        <v>46232</v>
      </c>
      <c r="C144" s="48" t="s">
        <v>5310</v>
      </c>
      <c r="D144" s="50">
        <v>46232.6090165394</v>
      </c>
      <c r="E144" s="48" t="s">
        <v>6102</v>
      </c>
      <c r="F144" s="48" t="s">
        <v>5312</v>
      </c>
      <c r="G144" s="48" t="s">
        <v>6103</v>
      </c>
      <c r="H144" s="51"/>
      <c r="I144" s="52">
        <v>0</v>
      </c>
      <c r="J144" s="52">
        <v>0</v>
      </c>
      <c r="K144" s="52">
        <v>3.64</v>
      </c>
      <c r="L144" s="48" t="s">
        <v>5314</v>
      </c>
      <c r="M144" s="52">
        <v>0</v>
      </c>
      <c r="N144" s="51"/>
      <c r="O144" s="48" t="s">
        <v>5315</v>
      </c>
      <c r="P144" s="48" t="s">
        <v>5316</v>
      </c>
      <c r="Q144" s="53">
        <v>1</v>
      </c>
      <c r="R144" s="48" t="s">
        <v>5317</v>
      </c>
      <c r="S144" s="48" t="s">
        <v>5489</v>
      </c>
      <c r="T144" s="48" t="s">
        <v>5319</v>
      </c>
      <c r="U144" s="48" t="s">
        <v>5320</v>
      </c>
      <c r="V144" s="48" t="s">
        <v>5321</v>
      </c>
      <c r="W144" s="48" t="s">
        <v>5322</v>
      </c>
      <c r="X144" s="48" t="s">
        <v>5323</v>
      </c>
      <c r="Y144" s="48" t="s">
        <v>5324</v>
      </c>
      <c r="Z144" s="48" t="s">
        <v>6104</v>
      </c>
      <c r="AA144" s="48" t="s">
        <v>6105</v>
      </c>
      <c r="AB144" s="51"/>
      <c r="AC144" s="48" t="s">
        <v>6106</v>
      </c>
      <c r="AD144" s="48" t="s">
        <v>6107</v>
      </c>
      <c r="AE144" s="48" t="s">
        <v>5324</v>
      </c>
    </row>
    <row r="145" s="42" customFormat="1" ht="16.8" spans="1:31">
      <c r="A145" s="48" t="s">
        <v>5309</v>
      </c>
      <c r="B145" s="49">
        <v>46232</v>
      </c>
      <c r="C145" s="48" t="s">
        <v>5310</v>
      </c>
      <c r="D145" s="50">
        <v>46232.609938125</v>
      </c>
      <c r="E145" s="48" t="s">
        <v>6108</v>
      </c>
      <c r="F145" s="48" t="s">
        <v>5312</v>
      </c>
      <c r="G145" s="48" t="s">
        <v>5794</v>
      </c>
      <c r="H145" s="51"/>
      <c r="I145" s="52">
        <v>0</v>
      </c>
      <c r="J145" s="52">
        <v>0</v>
      </c>
      <c r="K145" s="52">
        <v>3.64</v>
      </c>
      <c r="L145" s="48" t="s">
        <v>5314</v>
      </c>
      <c r="M145" s="52">
        <v>0</v>
      </c>
      <c r="N145" s="51"/>
      <c r="O145" s="48" t="s">
        <v>5315</v>
      </c>
      <c r="P145" s="48" t="s">
        <v>5316</v>
      </c>
      <c r="Q145" s="53">
        <v>1</v>
      </c>
      <c r="R145" s="48" t="s">
        <v>5317</v>
      </c>
      <c r="S145" s="48" t="s">
        <v>5489</v>
      </c>
      <c r="T145" s="48" t="s">
        <v>5319</v>
      </c>
      <c r="U145" s="48" t="s">
        <v>5320</v>
      </c>
      <c r="V145" s="48" t="s">
        <v>5321</v>
      </c>
      <c r="W145" s="48" t="s">
        <v>5322</v>
      </c>
      <c r="X145" s="48" t="s">
        <v>5323</v>
      </c>
      <c r="Y145" s="48" t="s">
        <v>5324</v>
      </c>
      <c r="Z145" s="48" t="s">
        <v>5795</v>
      </c>
      <c r="AA145" s="48" t="s">
        <v>5796</v>
      </c>
      <c r="AB145" s="51"/>
      <c r="AC145" s="48" t="s">
        <v>5797</v>
      </c>
      <c r="AD145" s="48" t="s">
        <v>5798</v>
      </c>
      <c r="AE145" s="48" t="s">
        <v>5324</v>
      </c>
    </row>
    <row r="146" s="42" customFormat="1" ht="16.8" spans="1:31">
      <c r="A146" s="48" t="s">
        <v>5309</v>
      </c>
      <c r="B146" s="49">
        <v>46232</v>
      </c>
      <c r="C146" s="48" t="s">
        <v>5310</v>
      </c>
      <c r="D146" s="50">
        <v>46232.6109047917</v>
      </c>
      <c r="E146" s="48" t="s">
        <v>6109</v>
      </c>
      <c r="F146" s="48" t="s">
        <v>5312</v>
      </c>
      <c r="G146" s="48" t="s">
        <v>5800</v>
      </c>
      <c r="H146" s="51"/>
      <c r="I146" s="52">
        <v>0</v>
      </c>
      <c r="J146" s="52">
        <v>0</v>
      </c>
      <c r="K146" s="52">
        <v>3.64</v>
      </c>
      <c r="L146" s="48" t="s">
        <v>5314</v>
      </c>
      <c r="M146" s="52">
        <v>0</v>
      </c>
      <c r="N146" s="51"/>
      <c r="O146" s="48" t="s">
        <v>5315</v>
      </c>
      <c r="P146" s="48" t="s">
        <v>5316</v>
      </c>
      <c r="Q146" s="53">
        <v>1</v>
      </c>
      <c r="R146" s="48" t="s">
        <v>5317</v>
      </c>
      <c r="S146" s="48" t="s">
        <v>5489</v>
      </c>
      <c r="T146" s="48" t="s">
        <v>5319</v>
      </c>
      <c r="U146" s="48" t="s">
        <v>5320</v>
      </c>
      <c r="V146" s="48" t="s">
        <v>5321</v>
      </c>
      <c r="W146" s="48" t="s">
        <v>5322</v>
      </c>
      <c r="X146" s="48" t="s">
        <v>5323</v>
      </c>
      <c r="Y146" s="48" t="s">
        <v>5324</v>
      </c>
      <c r="Z146" s="48" t="s">
        <v>5801</v>
      </c>
      <c r="AA146" s="48" t="s">
        <v>5559</v>
      </c>
      <c r="AB146" s="51"/>
      <c r="AC146" s="48" t="s">
        <v>5802</v>
      </c>
      <c r="AD146" s="48" t="s">
        <v>5803</v>
      </c>
      <c r="AE146" s="48" t="s">
        <v>5324</v>
      </c>
    </row>
    <row r="150" ht="15.95"/>
    <row r="151" ht="15.95" spans="1:31">
      <c r="B151" s="59" t="s">
        <v>6110</v>
      </c>
      <c r="C151" s="59"/>
      <c r="D151" s="59"/>
      <c r="E151" s="59"/>
      <c r="F151" s="59"/>
      <c r="G151" s="59"/>
      <c r="I151" s="60">
        <f>SUM(I2:I150)</f>
        <v>346.46</v>
      </c>
    </row>
  </sheetData>
  <autoFilter xmlns:etc="http://www.wps.cn/officeDocument/2017/etCustomData" ref="A1:AE146" etc:filterBottomFollowUsedRange="0">
    <extLst/>
  </autoFilter>
  <mergeCells count="1">
    <mergeCell ref="B151:G15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opLeftCell="A17" workbookViewId="0">
      <selection activeCell="U23" sqref="U23"/>
    </sheetView>
  </sheetViews>
  <sheetFormatPr defaultColWidth="9.14285714285714" defaultRowHeight="15.2"/>
  <cols>
    <col min="12" max="12" width="2.97321428571429" customWidth="1"/>
    <col min="15" max="15" width="17.1071428571429" customWidth="1"/>
    <col min="20" max="20" width="13.0892857142857" customWidth="1"/>
  </cols>
  <sheetData>
    <row r="1" ht="15.95" spans="1:20">
      <c r="A1" s="1"/>
      <c r="B1" s="1"/>
      <c r="C1" s="1"/>
      <c r="D1" s="1"/>
      <c r="E1" s="1"/>
      <c r="F1" s="1"/>
      <c r="G1" s="1"/>
      <c r="H1" s="1"/>
    </row>
    <row r="2" spans="1:20">
      <c r="A2" s="2" t="str">
        <f>_xlfn.DISPIMG("ID_3FC835EAB12E4DAC9FBE3CD27992669A",1)</f>
        <v>=DISPIMG("ID_3FC835EAB12E4DAC9FBE3CD27992669A",1)</v>
      </c>
      <c r="B2" s="3"/>
      <c r="C2" s="3"/>
      <c r="D2" s="3"/>
      <c r="E2" s="3"/>
      <c r="F2" s="3"/>
      <c r="G2" s="3"/>
      <c r="H2" s="3"/>
      <c r="I2" s="4" t="s">
        <v>6111</v>
      </c>
      <c r="J2" s="5"/>
      <c r="K2" s="5"/>
      <c r="L2" s="5"/>
      <c r="M2" s="6" t="s">
        <v>6112</v>
      </c>
      <c r="N2" s="7"/>
      <c r="O2" s="8"/>
      <c r="P2" s="9" t="s">
        <v>6113</v>
      </c>
      <c r="Q2" s="10"/>
      <c r="R2" s="10"/>
      <c r="S2" s="10"/>
      <c r="T2" s="11"/>
    </row>
    <row r="3" spans="1:20">
      <c r="A3" s="12"/>
      <c r="B3" s="13"/>
      <c r="C3" s="13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6"/>
      <c r="P3" s="17"/>
      <c r="Q3" s="17"/>
      <c r="R3" s="17"/>
      <c r="S3" s="17"/>
      <c r="T3" s="18"/>
    </row>
    <row r="4" spans="1:20">
      <c r="A4" s="12"/>
      <c r="B4" s="13"/>
      <c r="C4" s="13"/>
      <c r="D4" s="13"/>
      <c r="E4" s="13"/>
      <c r="F4" s="13"/>
      <c r="G4" s="13"/>
      <c r="H4" s="13"/>
      <c r="I4" s="14"/>
      <c r="J4" s="14"/>
      <c r="K4" s="14"/>
      <c r="L4" s="14"/>
      <c r="M4" s="19"/>
      <c r="N4" s="15"/>
      <c r="O4" s="16"/>
      <c r="P4" s="17"/>
      <c r="Q4" s="17"/>
      <c r="R4" s="17"/>
      <c r="S4" s="17"/>
      <c r="T4" s="18"/>
    </row>
    <row r="5" spans="1:20">
      <c r="A5" s="12"/>
      <c r="B5" s="13"/>
      <c r="C5" s="13"/>
      <c r="D5" s="13"/>
      <c r="E5" s="13"/>
      <c r="F5" s="13"/>
      <c r="G5" s="13"/>
      <c r="H5" s="13"/>
      <c r="I5" s="14"/>
      <c r="J5" s="14"/>
      <c r="K5" s="14"/>
      <c r="L5" s="14"/>
      <c r="M5" s="15"/>
      <c r="N5" s="15"/>
      <c r="O5" s="16"/>
      <c r="P5" s="17"/>
      <c r="Q5" s="17"/>
      <c r="R5" s="17"/>
      <c r="S5" s="17"/>
      <c r="T5" s="18"/>
    </row>
    <row r="6" spans="1:20">
      <c r="A6" s="12"/>
      <c r="B6" s="13"/>
      <c r="C6" s="13"/>
      <c r="D6" s="13"/>
      <c r="E6" s="13"/>
      <c r="F6" s="13"/>
      <c r="G6" s="13"/>
      <c r="H6" s="13"/>
      <c r="I6" s="14"/>
      <c r="J6" s="14"/>
      <c r="K6" s="14"/>
      <c r="L6" s="14"/>
      <c r="M6" s="15"/>
      <c r="N6" s="15"/>
      <c r="O6" s="16"/>
      <c r="P6" s="17"/>
      <c r="Q6" s="17"/>
      <c r="R6" s="17"/>
      <c r="S6" s="17"/>
      <c r="T6" s="18"/>
    </row>
    <row r="7" spans="1:20">
      <c r="A7" s="12"/>
      <c r="B7" s="13"/>
      <c r="C7" s="13"/>
      <c r="D7" s="13"/>
      <c r="E7" s="13"/>
      <c r="F7" s="13"/>
      <c r="G7" s="13"/>
      <c r="H7" s="13"/>
      <c r="I7" s="14"/>
      <c r="J7" s="14"/>
      <c r="K7" s="14"/>
      <c r="L7" s="14"/>
      <c r="M7" s="15"/>
      <c r="N7" s="15"/>
      <c r="O7" s="16"/>
      <c r="P7" s="17"/>
      <c r="Q7" s="17"/>
      <c r="R7" s="17"/>
      <c r="S7" s="17"/>
      <c r="T7" s="18"/>
    </row>
    <row r="8" spans="1:20">
      <c r="A8" s="12"/>
      <c r="B8" s="13"/>
      <c r="C8" s="13"/>
      <c r="D8" s="13"/>
      <c r="E8" s="13"/>
      <c r="F8" s="13"/>
      <c r="G8" s="13"/>
      <c r="H8" s="13"/>
      <c r="I8" s="14"/>
      <c r="J8" s="14"/>
      <c r="K8" s="14"/>
      <c r="L8" s="14"/>
      <c r="M8" s="15"/>
      <c r="N8" s="15"/>
      <c r="O8" s="16"/>
      <c r="P8" s="17"/>
      <c r="Q8" s="17"/>
      <c r="R8" s="17"/>
      <c r="S8" s="17"/>
      <c r="T8" s="18"/>
    </row>
    <row r="9" spans="1:20">
      <c r="A9" s="12"/>
      <c r="B9" s="13"/>
      <c r="C9" s="13"/>
      <c r="D9" s="13"/>
      <c r="E9" s="13"/>
      <c r="F9" s="13"/>
      <c r="G9" s="13"/>
      <c r="H9" s="13"/>
      <c r="I9" s="14"/>
      <c r="J9" s="14"/>
      <c r="K9" s="14"/>
      <c r="L9" s="14"/>
      <c r="M9" s="15"/>
      <c r="N9" s="15"/>
      <c r="O9" s="16"/>
      <c r="P9" s="17"/>
      <c r="Q9" s="17"/>
      <c r="R9" s="17"/>
      <c r="S9" s="17"/>
      <c r="T9" s="18"/>
    </row>
    <row r="10" spans="1:20">
      <c r="A10" s="12"/>
      <c r="B10" s="13"/>
      <c r="C10" s="13"/>
      <c r="D10" s="13"/>
      <c r="E10" s="13"/>
      <c r="F10" s="13"/>
      <c r="G10" s="13"/>
      <c r="H10" s="13"/>
      <c r="I10" s="14"/>
      <c r="J10" s="14"/>
      <c r="K10" s="14"/>
      <c r="L10" s="14"/>
      <c r="M10" s="15"/>
      <c r="N10" s="15"/>
      <c r="O10" s="16"/>
      <c r="P10" s="17"/>
      <c r="Q10" s="17"/>
      <c r="R10" s="17"/>
      <c r="S10" s="17"/>
      <c r="T10" s="18"/>
    </row>
    <row r="11" spans="1:20">
      <c r="A11" s="12"/>
      <c r="B11" s="13"/>
      <c r="C11" s="13"/>
      <c r="D11" s="13"/>
      <c r="E11" s="13"/>
      <c r="F11" s="13"/>
      <c r="G11" s="13"/>
      <c r="H11" s="13"/>
      <c r="I11" s="14"/>
      <c r="J11" s="14"/>
      <c r="K11" s="14"/>
      <c r="L11" s="14"/>
      <c r="M11" s="15"/>
      <c r="N11" s="15"/>
      <c r="O11" s="16"/>
      <c r="P11" s="17"/>
      <c r="Q11" s="17"/>
      <c r="R11" s="17"/>
      <c r="S11" s="17"/>
      <c r="T11" s="18"/>
    </row>
    <row r="12" spans="1:20">
      <c r="A12" s="12"/>
      <c r="B12" s="13"/>
      <c r="C12" s="13"/>
      <c r="D12" s="13"/>
      <c r="E12" s="13"/>
      <c r="F12" s="13"/>
      <c r="G12" s="13"/>
      <c r="H12" s="13"/>
      <c r="I12" s="14"/>
      <c r="J12" s="14"/>
      <c r="K12" s="14"/>
      <c r="L12" s="14"/>
      <c r="M12" s="15"/>
      <c r="N12" s="15"/>
      <c r="O12" s="16"/>
      <c r="P12" s="17"/>
      <c r="Q12" s="17"/>
      <c r="R12" s="17"/>
      <c r="S12" s="17"/>
      <c r="T12" s="18"/>
    </row>
    <row r="13" spans="1:20">
      <c r="A13" s="12"/>
      <c r="B13" s="13"/>
      <c r="C13" s="13"/>
      <c r="D13" s="13"/>
      <c r="E13" s="13"/>
      <c r="F13" s="13"/>
      <c r="G13" s="13"/>
      <c r="H13" s="13"/>
      <c r="I13" s="14"/>
      <c r="J13" s="14"/>
      <c r="K13" s="14"/>
      <c r="L13" s="14"/>
      <c r="M13" s="15"/>
      <c r="N13" s="15"/>
      <c r="O13" s="16"/>
      <c r="P13" s="17"/>
      <c r="Q13" s="17"/>
      <c r="R13" s="17"/>
      <c r="S13" s="17"/>
      <c r="T13" s="18"/>
    </row>
    <row r="14" spans="1:20">
      <c r="A14" s="12"/>
      <c r="B14" s="13"/>
      <c r="C14" s="13"/>
      <c r="D14" s="13"/>
      <c r="E14" s="13"/>
      <c r="F14" s="13"/>
      <c r="G14" s="13"/>
      <c r="H14" s="13"/>
      <c r="I14" s="14"/>
      <c r="J14" s="14"/>
      <c r="K14" s="14"/>
      <c r="L14" s="14"/>
      <c r="M14" s="15"/>
      <c r="N14" s="15"/>
      <c r="O14" s="16"/>
      <c r="P14" s="17"/>
      <c r="Q14" s="17"/>
      <c r="R14" s="17"/>
      <c r="S14" s="17"/>
      <c r="T14" s="18"/>
    </row>
    <row r="15" spans="1:20">
      <c r="A15" s="12"/>
      <c r="B15" s="13"/>
      <c r="C15" s="13"/>
      <c r="D15" s="13"/>
      <c r="E15" s="13"/>
      <c r="F15" s="13"/>
      <c r="G15" s="13"/>
      <c r="H15" s="13"/>
      <c r="I15" s="14"/>
      <c r="J15" s="14"/>
      <c r="K15" s="14"/>
      <c r="L15" s="14"/>
      <c r="M15" s="15"/>
      <c r="N15" s="15"/>
      <c r="O15" s="16"/>
      <c r="P15" s="17"/>
      <c r="Q15" s="17"/>
      <c r="R15" s="17"/>
      <c r="S15" s="17"/>
      <c r="T15" s="18"/>
    </row>
    <row r="16" spans="1:20">
      <c r="A16" s="12"/>
      <c r="B16" s="13"/>
      <c r="C16" s="13"/>
      <c r="D16" s="13"/>
      <c r="E16" s="13"/>
      <c r="F16" s="13"/>
      <c r="G16" s="13"/>
      <c r="H16" s="13"/>
      <c r="I16" s="14"/>
      <c r="J16" s="14"/>
      <c r="K16" s="14"/>
      <c r="L16" s="14"/>
      <c r="M16" s="15"/>
      <c r="N16" s="15"/>
      <c r="O16" s="16"/>
      <c r="P16" s="17"/>
      <c r="Q16" s="17"/>
      <c r="R16" s="17"/>
      <c r="S16" s="17"/>
      <c r="T16" s="18"/>
    </row>
    <row r="17" spans="1:20">
      <c r="A17" s="12"/>
      <c r="B17" s="13"/>
      <c r="C17" s="13"/>
      <c r="D17" s="13"/>
      <c r="E17" s="13"/>
      <c r="F17" s="13"/>
      <c r="G17" s="13"/>
      <c r="H17" s="13"/>
      <c r="I17" s="14"/>
      <c r="J17" s="14"/>
      <c r="K17" s="14"/>
      <c r="L17" s="14"/>
      <c r="M17" s="15"/>
      <c r="N17" s="15"/>
      <c r="O17" s="16"/>
      <c r="P17" s="17"/>
      <c r="Q17" s="17"/>
      <c r="R17" s="17"/>
      <c r="S17" s="17"/>
      <c r="T17" s="18"/>
    </row>
    <row r="18" spans="1:20">
      <c r="A18" s="12"/>
      <c r="B18" s="13"/>
      <c r="C18" s="13"/>
      <c r="D18" s="13"/>
      <c r="E18" s="13"/>
      <c r="F18" s="13"/>
      <c r="G18" s="13"/>
      <c r="H18" s="13"/>
      <c r="I18" s="14"/>
      <c r="J18" s="14"/>
      <c r="K18" s="14"/>
      <c r="L18" s="14"/>
      <c r="M18" s="15"/>
      <c r="N18" s="15"/>
      <c r="O18" s="16"/>
      <c r="P18" s="17"/>
      <c r="Q18" s="17"/>
      <c r="R18" s="17"/>
      <c r="S18" s="17"/>
      <c r="T18" s="18"/>
    </row>
    <row r="19" spans="1:20">
      <c r="A19" s="12"/>
      <c r="B19" s="13"/>
      <c r="C19" s="13"/>
      <c r="D19" s="13"/>
      <c r="E19" s="13"/>
      <c r="F19" s="13"/>
      <c r="G19" s="13"/>
      <c r="H19" s="13"/>
      <c r="I19" s="14"/>
      <c r="J19" s="14"/>
      <c r="K19" s="14"/>
      <c r="L19" s="14"/>
      <c r="M19" s="15"/>
      <c r="N19" s="15"/>
      <c r="O19" s="16"/>
      <c r="P19" s="17"/>
      <c r="Q19" s="17"/>
      <c r="R19" s="17"/>
      <c r="S19" s="17"/>
      <c r="T19" s="18"/>
    </row>
    <row r="20" spans="1:20">
      <c r="A20" s="12"/>
      <c r="B20" s="13"/>
      <c r="C20" s="13"/>
      <c r="D20" s="13"/>
      <c r="E20" s="13"/>
      <c r="F20" s="13"/>
      <c r="G20" s="13"/>
      <c r="H20" s="13"/>
      <c r="I20" s="14"/>
      <c r="J20" s="14"/>
      <c r="K20" s="14"/>
      <c r="L20" s="14"/>
      <c r="M20" s="15"/>
      <c r="N20" s="15"/>
      <c r="O20" s="16"/>
      <c r="P20" s="17"/>
      <c r="Q20" s="17"/>
      <c r="R20" s="17"/>
      <c r="S20" s="17"/>
      <c r="T20" s="18"/>
    </row>
    <row r="21" spans="1:20">
      <c r="A21" s="12"/>
      <c r="B21" s="13"/>
      <c r="C21" s="13"/>
      <c r="D21" s="13"/>
      <c r="E21" s="13"/>
      <c r="F21" s="13"/>
      <c r="G21" s="13"/>
      <c r="H21" s="13"/>
      <c r="I21" s="14"/>
      <c r="J21" s="14"/>
      <c r="K21" s="14"/>
      <c r="L21" s="14"/>
      <c r="M21" s="15"/>
      <c r="N21" s="15"/>
      <c r="O21" s="16"/>
      <c r="P21" s="17"/>
      <c r="Q21" s="17"/>
      <c r="R21" s="17"/>
      <c r="S21" s="17"/>
      <c r="T21" s="18"/>
    </row>
    <row r="22" ht="74" customHeight="1" spans="1:20">
      <c r="A22" s="20"/>
      <c r="B22" s="21"/>
      <c r="C22" s="21"/>
      <c r="D22" s="21"/>
      <c r="E22" s="21"/>
      <c r="F22" s="21"/>
      <c r="G22" s="21"/>
      <c r="H22" s="21"/>
      <c r="I22" s="22"/>
      <c r="J22" s="22"/>
      <c r="K22" s="22"/>
      <c r="L22" s="22"/>
      <c r="M22" s="23"/>
      <c r="N22" s="23"/>
      <c r="O22" s="24"/>
      <c r="P22" s="25"/>
      <c r="Q22" s="25"/>
      <c r="R22" s="25"/>
      <c r="S22" s="25"/>
      <c r="T22" s="26"/>
    </row>
    <row r="23" spans="1:20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9"/>
    </row>
    <row r="24" spans="1:20">
      <c r="A24" s="30" t="str">
        <f>_xlfn.DISPIMG("ID_F6653F2C69754EE6A709B10533AD547A",1)</f>
        <v>=DISPIMG("ID_F6653F2C69754EE6A709B10533AD547A",1)</v>
      </c>
      <c r="B24" s="1"/>
      <c r="C24" s="1"/>
      <c r="D24" s="1"/>
      <c r="E24" s="1"/>
      <c r="F24" s="1"/>
      <c r="G24" s="1"/>
      <c r="H24" s="1"/>
      <c r="I24" s="31" t="s">
        <v>6114</v>
      </c>
      <c r="J24" s="32"/>
      <c r="K24" s="32"/>
      <c r="L24" s="32"/>
      <c r="M24" s="33" t="s">
        <v>6115</v>
      </c>
      <c r="N24" s="34"/>
      <c r="O24" s="34"/>
      <c r="P24" s="35" t="s">
        <v>6116</v>
      </c>
      <c r="Q24" s="36"/>
      <c r="R24" s="36"/>
      <c r="S24" s="36"/>
      <c r="T24" s="37"/>
    </row>
    <row r="25" spans="1:20">
      <c r="A25" s="30"/>
      <c r="B25" s="1"/>
      <c r="C25" s="1"/>
      <c r="D25" s="1"/>
      <c r="E25" s="1"/>
      <c r="F25" s="1"/>
      <c r="G25" s="1"/>
      <c r="H25" s="1"/>
      <c r="I25" s="32"/>
      <c r="J25" s="32"/>
      <c r="K25" s="32"/>
      <c r="L25" s="32"/>
      <c r="M25" s="34"/>
      <c r="N25" s="34"/>
      <c r="O25" s="34"/>
      <c r="P25" s="36"/>
      <c r="Q25" s="36"/>
      <c r="R25" s="36"/>
      <c r="S25" s="36"/>
      <c r="T25" s="37"/>
    </row>
    <row r="26" spans="1:20">
      <c r="A26" s="30"/>
      <c r="B26" s="1"/>
      <c r="C26" s="1"/>
      <c r="D26" s="1"/>
      <c r="E26" s="1"/>
      <c r="F26" s="1"/>
      <c r="G26" s="1"/>
      <c r="H26" s="1"/>
      <c r="I26" s="32"/>
      <c r="J26" s="32"/>
      <c r="K26" s="32"/>
      <c r="L26" s="32"/>
      <c r="M26" s="34"/>
      <c r="N26" s="34"/>
      <c r="O26" s="34"/>
      <c r="P26" s="36"/>
      <c r="Q26" s="36"/>
      <c r="R26" s="36"/>
      <c r="S26" s="36"/>
      <c r="T26" s="37"/>
    </row>
    <row r="27" spans="1:20">
      <c r="A27" s="30"/>
      <c r="B27" s="1"/>
      <c r="C27" s="1"/>
      <c r="D27" s="1"/>
      <c r="E27" s="1"/>
      <c r="F27" s="1"/>
      <c r="G27" s="1"/>
      <c r="H27" s="1"/>
      <c r="I27" s="32"/>
      <c r="J27" s="32"/>
      <c r="K27" s="32"/>
      <c r="L27" s="32"/>
      <c r="M27" s="34"/>
      <c r="N27" s="34"/>
      <c r="O27" s="34"/>
      <c r="P27" s="36"/>
      <c r="Q27" s="36"/>
      <c r="R27" s="36"/>
      <c r="S27" s="36"/>
      <c r="T27" s="37"/>
    </row>
    <row r="28" spans="1:20">
      <c r="A28" s="30"/>
      <c r="B28" s="1"/>
      <c r="C28" s="1"/>
      <c r="D28" s="1"/>
      <c r="E28" s="1"/>
      <c r="F28" s="1"/>
      <c r="G28" s="1"/>
      <c r="H28" s="1"/>
      <c r="I28" s="32"/>
      <c r="J28" s="32"/>
      <c r="K28" s="32"/>
      <c r="L28" s="32"/>
      <c r="M28" s="34"/>
      <c r="N28" s="34"/>
      <c r="O28" s="34"/>
      <c r="P28" s="36"/>
      <c r="Q28" s="36"/>
      <c r="R28" s="36"/>
      <c r="S28" s="36"/>
      <c r="T28" s="37"/>
    </row>
    <row r="29" spans="1:20">
      <c r="A29" s="30"/>
      <c r="B29" s="1"/>
      <c r="C29" s="1"/>
      <c r="D29" s="1"/>
      <c r="E29" s="1"/>
      <c r="F29" s="1"/>
      <c r="G29" s="1"/>
      <c r="H29" s="1"/>
      <c r="I29" s="32"/>
      <c r="J29" s="32"/>
      <c r="K29" s="32"/>
      <c r="L29" s="32"/>
      <c r="M29" s="34"/>
      <c r="N29" s="34"/>
      <c r="O29" s="34"/>
      <c r="P29" s="36"/>
      <c r="Q29" s="36"/>
      <c r="R29" s="36"/>
      <c r="S29" s="36"/>
      <c r="T29" s="37"/>
    </row>
    <row r="30" spans="1:20">
      <c r="A30" s="30"/>
      <c r="B30" s="1"/>
      <c r="C30" s="1"/>
      <c r="D30" s="1"/>
      <c r="E30" s="1"/>
      <c r="F30" s="1"/>
      <c r="G30" s="1"/>
      <c r="H30" s="1"/>
      <c r="I30" s="32"/>
      <c r="J30" s="32"/>
      <c r="K30" s="32"/>
      <c r="L30" s="32"/>
      <c r="M30" s="34"/>
      <c r="N30" s="34"/>
      <c r="O30" s="34"/>
      <c r="P30" s="36"/>
      <c r="Q30" s="36"/>
      <c r="R30" s="36"/>
      <c r="S30" s="36"/>
      <c r="T30" s="37"/>
    </row>
    <row r="31" spans="1:20">
      <c r="A31" s="30"/>
      <c r="B31" s="1"/>
      <c r="C31" s="1"/>
      <c r="D31" s="1"/>
      <c r="E31" s="1"/>
      <c r="F31" s="1"/>
      <c r="G31" s="1"/>
      <c r="H31" s="1"/>
      <c r="I31" s="32"/>
      <c r="J31" s="32"/>
      <c r="K31" s="32"/>
      <c r="L31" s="32"/>
      <c r="M31" s="34"/>
      <c r="N31" s="34"/>
      <c r="O31" s="34"/>
      <c r="P31" s="36"/>
      <c r="Q31" s="36"/>
      <c r="R31" s="36"/>
      <c r="S31" s="36"/>
      <c r="T31" s="37"/>
    </row>
    <row r="32" spans="1:20">
      <c r="A32" s="30"/>
      <c r="B32" s="1"/>
      <c r="C32" s="1"/>
      <c r="D32" s="1"/>
      <c r="E32" s="1"/>
      <c r="F32" s="1"/>
      <c r="G32" s="1"/>
      <c r="H32" s="1"/>
      <c r="I32" s="32"/>
      <c r="J32" s="32"/>
      <c r="K32" s="32"/>
      <c r="L32" s="32"/>
      <c r="M32" s="34"/>
      <c r="N32" s="34"/>
      <c r="O32" s="34"/>
      <c r="P32" s="36"/>
      <c r="Q32" s="36"/>
      <c r="R32" s="36"/>
      <c r="S32" s="36"/>
      <c r="T32" s="37"/>
    </row>
    <row r="33" ht="33" customHeight="1" spans="1:20">
      <c r="A33" s="30"/>
      <c r="B33" s="1"/>
      <c r="C33" s="1"/>
      <c r="D33" s="1"/>
      <c r="E33" s="1"/>
      <c r="F33" s="1"/>
      <c r="G33" s="1"/>
      <c r="H33" s="1"/>
      <c r="I33" s="32"/>
      <c r="J33" s="32"/>
      <c r="K33" s="32"/>
      <c r="L33" s="32"/>
      <c r="M33" s="34"/>
      <c r="N33" s="34"/>
      <c r="O33" s="34"/>
      <c r="P33" s="36"/>
      <c r="Q33" s="36"/>
      <c r="R33" s="36"/>
      <c r="S33" s="36"/>
      <c r="T33" s="37"/>
    </row>
    <row r="34" ht="45" customHeight="1" spans="1:20">
      <c r="A34" s="38" t="s">
        <v>6117</v>
      </c>
      <c r="B34" s="39"/>
      <c r="C34" s="39"/>
      <c r="D34" s="39"/>
      <c r="E34" s="39"/>
      <c r="F34" s="39"/>
      <c r="G34" s="39"/>
      <c r="H34" s="39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1"/>
    </row>
  </sheetData>
  <mergeCells count="10">
    <mergeCell ref="A1:H1"/>
    <mergeCell ref="A34:H34"/>
    <mergeCell ref="A2:H22"/>
    <mergeCell ref="I2:L22"/>
    <mergeCell ref="M2:O22"/>
    <mergeCell ref="P2:T22"/>
    <mergeCell ref="A24:H33"/>
    <mergeCell ref="I24:L33"/>
    <mergeCell ref="M24:O33"/>
    <mergeCell ref="P24:T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1-FACT-CN</vt:lpstr>
      <vt:lpstr>28003-28706 CN 526</vt:lpstr>
      <vt:lpstr>2-FACT-FR</vt:lpstr>
      <vt:lpstr>28003-28706 FR </vt:lpstr>
      <vt:lpstr>121 compte de Dan</vt:lpstr>
      <vt:lpstr>Frais de fret du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c＇est dan.</cp:lastModifiedBy>
  <dcterms:created xsi:type="dcterms:W3CDTF">2025-08-01T04:13:00Z</dcterms:created>
  <dcterms:modified xsi:type="dcterms:W3CDTF">2026-08-06T00:04:05Z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CC6BAF6AE31A4C7A55B3736A53F213D6_43</vt:lpwstr>
  </property>
  <property fmtid="{D5CDD505-2E9C-101B-9397-08002B2CF9AE}" pid="4" name="CalculationRule">
    <vt:i4>0</vt:i4>
  </property>
</Properties>
</file>