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1780"/>
  </bookViews>
  <sheets>
    <sheet name="FACT" sheetId="1" r:id="rId1"/>
    <sheet name=" Cmd échantillons B2B 2504" sheetId="4" r:id="rId2"/>
  </sheets>
  <definedNames>
    <definedName name="_xlnm._FilterDatabase" localSheetId="1" hidden="1">' Cmd échantillons B2B 2504'!$A$1:$N$35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<sst xmlns="http://schemas.openxmlformats.org/spreadsheetml/2006/main" count="478" uniqueCount="314">
  <si>
    <t>FACT - #10312
25/04/26</t>
  </si>
  <si>
    <r>
      <rPr>
        <b/>
        <sz val="10"/>
        <color rgb="FF000000"/>
        <rFont val="Arial"/>
        <charset val="134"/>
      </rPr>
      <t>Consignee:</t>
    </r>
    <r>
      <rPr>
        <sz val="10"/>
        <color rgb="FF000000"/>
        <rFont val="Arial"/>
        <charset val="134"/>
      </rPr>
      <t xml:space="preserve"> JINRIYANGTIAN DIANZISHANGWU SHENZHEN YOUXIANGONGSI 
</t>
    </r>
    <r>
      <rPr>
        <b/>
        <sz val="10"/>
        <color rgb="FF000000"/>
        <rFont val="Arial"/>
        <charset val="134"/>
      </rPr>
      <t>Company number:</t>
    </r>
    <r>
      <rPr>
        <sz val="10"/>
        <color rgb="FF000000"/>
        <rFont val="Arial"/>
        <charset val="134"/>
      </rPr>
      <t xml:space="preserve"> 91440300MA5HW4MP14
</t>
    </r>
    <r>
      <rPr>
        <b/>
        <sz val="10"/>
        <color rgb="FF000000"/>
        <rFont val="Arial"/>
        <charset val="134"/>
      </rPr>
      <t>Adress:</t>
    </r>
    <r>
      <rPr>
        <sz val="10"/>
        <color rgb="FF000000"/>
        <rFont val="Arial"/>
        <charset val="134"/>
      </rPr>
      <t xml:space="preserve">   Parc Technologique Zhengchangda,
23 rue Jian’an, Quartier Fuhai, Bao’an, Shenzhen, Guangdong, Chine</t>
    </r>
  </si>
  <si>
    <t>INVOICED TO:</t>
  </si>
  <si>
    <t xml:space="preserve">Contractant : Stanislav et théo
Company name : SAS WRITE
Siret : 930 541 164 R.C.S. Paris
Address : 58 rue de Monceau, CS 48756
75380 Paris, France
</t>
  </si>
  <si>
    <t>COMMERCIAL INVOICE</t>
  </si>
  <si>
    <t>No</t>
  </si>
  <si>
    <t>Description</t>
  </si>
  <si>
    <t>Quantity</t>
  </si>
  <si>
    <t>COGs (€)</t>
  </si>
  <si>
    <t xml:space="preserve"> Shipping (€)</t>
  </si>
  <si>
    <t>COGs + Shipping (€)</t>
  </si>
  <si>
    <t>Amount (€)</t>
  </si>
  <si>
    <t>France</t>
  </si>
  <si>
    <t>Échantillon (1 crayon + 1 coffret cadeau)</t>
  </si>
  <si>
    <t>Belgium</t>
  </si>
  <si>
    <t>Canada</t>
  </si>
  <si>
    <t>Switzerland</t>
  </si>
  <si>
    <t>ATTENTION : Notre compte bancaire est un Compte Business</t>
  </si>
  <si>
    <t>Pour le règlement, merci de faire un virement en EUROS</t>
  </si>
  <si>
    <t>Voici les Coordonnées de notre compte bancaire :</t>
  </si>
  <si>
    <t>IBAN: LU534080000098001475</t>
  </si>
  <si>
    <t xml:space="preserve">SWIFT : BCIRLULL
</t>
  </si>
  <si>
    <t>Account Name: JINRIYANGTIAN DIANZISHANGWU SHENZHEN YOUXIANGONGSI</t>
  </si>
  <si>
    <t>Bank Name: Banking Circle S.A.</t>
  </si>
  <si>
    <t>Bank Address: 2, Boulevard de la Foire L-1528</t>
  </si>
  <si>
    <t>Country : LUXEMBOURG</t>
  </si>
  <si>
    <t>Type of Account: Business account</t>
  </si>
  <si>
    <t>Conditions de paiement : Paiement sous 8 jours à compter de la date de facture.</t>
  </si>
  <si>
    <t xml:space="preserve">REMARQUE : </t>
  </si>
  <si>
    <t>Merci de renseigner le numéro de la facture dans le versement pour que nous puissions identifier votre réglement.</t>
  </si>
  <si>
    <t>Après paiement, merci de nous envoyer la capture d’écran.</t>
  </si>
  <si>
    <t>En cas d’erreur ou d’omission, nous nous réservons le droit de réclamer tout montant restant dû.</t>
  </si>
  <si>
    <t>Nom de l'entreprise</t>
  </si>
  <si>
    <t>Prénom</t>
  </si>
  <si>
    <t>Nom</t>
  </si>
  <si>
    <t>Adresse de l'entreprise</t>
  </si>
  <si>
    <t>Appartement, suite, etc. (optionnel)</t>
  </si>
  <si>
    <t>Code postal</t>
  </si>
  <si>
    <t>Ville</t>
  </si>
  <si>
    <t>Pays</t>
  </si>
  <si>
    <t>Couleur de l'échantillon</t>
  </si>
  <si>
    <t>Téléphone 2</t>
  </si>
  <si>
    <t>Couleur des crayons</t>
  </si>
  <si>
    <t>Numéro de suivi</t>
  </si>
  <si>
    <t>Couleur de l'échantillon 2</t>
  </si>
  <si>
    <t>Ikepowa</t>
  </si>
  <si>
    <t/>
  </si>
  <si>
    <t>Julien</t>
  </si>
  <si>
    <t>Issler</t>
  </si>
  <si>
    <t>77 b rue de la Loire</t>
  </si>
  <si>
    <t>67800</t>
  </si>
  <si>
    <t>Hoenheim</t>
  </si>
  <si>
    <t>+33953173067</t>
  </si>
  <si>
    <t>Rouge - PANTONE 10417 C</t>
  </si>
  <si>
    <t>Julien Issler=6A05237094808</t>
  </si>
  <si>
    <t>L’ébène Claire</t>
  </si>
  <si>
    <t>Claire</t>
  </si>
  <si>
    <t>Basalgete</t>
  </si>
  <si>
    <t>428 grand rue</t>
  </si>
  <si>
    <t>34190</t>
  </si>
  <si>
    <t>Saint bauzille de putoos</t>
  </si>
  <si>
    <t>+33618886540</t>
  </si>
  <si>
    <t>Beige - PANTONE 2475 C</t>
  </si>
  <si>
    <t>Claire Basalgete=6A05265794343</t>
  </si>
  <si>
    <t>Ets De Witte</t>
  </si>
  <si>
    <t>Cyril</t>
  </si>
  <si>
    <t>De Witte</t>
  </si>
  <si>
    <t>Clos Valentine De Vos 1A</t>
  </si>
  <si>
    <t>Bt01</t>
  </si>
  <si>
    <t>7060</t>
  </si>
  <si>
    <t>Soignies</t>
  </si>
  <si>
    <t>+32476796239</t>
  </si>
  <si>
    <t>Cyril	De Witte=LD788471641BE</t>
  </si>
  <si>
    <t>Civdew</t>
  </si>
  <si>
    <t>Roland</t>
  </si>
  <si>
    <t>Rue docteur colson 99</t>
  </si>
  <si>
    <t>1430</t>
  </si>
  <si>
    <t>Rebecq</t>
  </si>
  <si>
    <t>+32487434068</t>
  </si>
  <si>
    <t>Bleu nuit - PANTONE 296 C</t>
  </si>
  <si>
    <t>Roland De Witte=LD788471624BE</t>
  </si>
  <si>
    <t>Sté Paul Romaric</t>
  </si>
  <si>
    <t>Romaric</t>
  </si>
  <si>
    <t>PAUL</t>
  </si>
  <si>
    <t>10 Chemin du Vieux Moutier</t>
  </si>
  <si>
    <t>78770</t>
  </si>
  <si>
    <t>GOUPILLIÈRES</t>
  </si>
  <si>
    <t>+33632224263</t>
  </si>
  <si>
    <t>Noir - PANTONE Black 6 C</t>
  </si>
  <si>
    <t>Romaric  PAUL=6A05266567281</t>
  </si>
  <si>
    <t>Renolr</t>
  </si>
  <si>
    <t>Ludovic</t>
  </si>
  <si>
    <t>Ruard</t>
  </si>
  <si>
    <t>5 cours Exelmans</t>
  </si>
  <si>
    <t>C01</t>
  </si>
  <si>
    <t>78150</t>
  </si>
  <si>
    <t>Le Chesnay Rocquencourt</t>
  </si>
  <si>
    <t>+33658346505</t>
  </si>
  <si>
    <t>Ludovic  Ruard=6A05266146394</t>
  </si>
  <si>
    <t>CYAgencement</t>
  </si>
  <si>
    <t>Yannick</t>
  </si>
  <si>
    <t>Couturier</t>
  </si>
  <si>
    <t>5 place Victor gugo</t>
  </si>
  <si>
    <t>42120</t>
  </si>
  <si>
    <t>Le coteau</t>
  </si>
  <si>
    <t>+33670415921</t>
  </si>
  <si>
    <t>Yannick Couturier=6A05327871340</t>
  </si>
  <si>
    <t>La Jeanne d’arc.</t>
  </si>
  <si>
    <t>9 rue Mozart</t>
  </si>
  <si>
    <t>Le Coteau</t>
  </si>
  <si>
    <t>+33477728138</t>
  </si>
  <si>
    <t>Yannick Couturier=6A05266919196</t>
  </si>
  <si>
    <t>DOEOS CAMIF HABITAT</t>
  </si>
  <si>
    <t>Vincent</t>
  </si>
  <si>
    <t>BAILLY</t>
  </si>
  <si>
    <t>2 grande rue de la Coupée</t>
  </si>
  <si>
    <t>2, grande rue de la coupée</t>
  </si>
  <si>
    <t>71850</t>
  </si>
  <si>
    <t>CHARNAY LES MACON</t>
  </si>
  <si>
    <t>+33756818800</t>
  </si>
  <si>
    <t>Vincent BAILLY=6A05311247205</t>
  </si>
  <si>
    <t>JJ Agencement Design</t>
  </si>
  <si>
    <t>Jeremy</t>
  </si>
  <si>
    <t>Jade</t>
  </si>
  <si>
    <t>326 rue Jules verne</t>
  </si>
  <si>
    <t>29760</t>
  </si>
  <si>
    <t>Penmarc’h</t>
  </si>
  <si>
    <t>+33659286039</t>
  </si>
  <si>
    <t>Jeremy Jade=6A05266146400</t>
  </si>
  <si>
    <t>Ac perfect</t>
  </si>
  <si>
    <t>Angélique</t>
  </si>
  <si>
    <t>Charroud</t>
  </si>
  <si>
    <t>9 route de Crémieu</t>
  </si>
  <si>
    <t>38090</t>
  </si>
  <si>
    <t>Bonnefamille</t>
  </si>
  <si>
    <t>+33682283837</t>
  </si>
  <si>
    <t>Angélique Charroud=6A05512297139</t>
  </si>
  <si>
    <t>Escaliers-prosper</t>
  </si>
  <si>
    <t>Olivier</t>
  </si>
  <si>
    <t>Kérébel</t>
  </si>
  <si>
    <t>39 route de Plouzané</t>
  </si>
  <si>
    <t>za  de Lanhir</t>
  </si>
  <si>
    <t>29280</t>
  </si>
  <si>
    <t>Locmaria Plouzané</t>
  </si>
  <si>
    <t>+33298484229</t>
  </si>
  <si>
    <t>Olivier Kérébel=6A05481009610</t>
  </si>
  <si>
    <t>Estrada velasquez</t>
  </si>
  <si>
    <t>David</t>
  </si>
  <si>
    <t>Estrada Velasquez</t>
  </si>
  <si>
    <t>rue wayemberg 8</t>
  </si>
  <si>
    <t>1050</t>
  </si>
  <si>
    <t>Bruxelles</t>
  </si>
  <si>
    <t>+32498494207</t>
  </si>
  <si>
    <t>David Estrada Velasquez=LD789297683BE</t>
  </si>
  <si>
    <t>bati33</t>
  </si>
  <si>
    <t>ANTONIO</t>
  </si>
  <si>
    <t>FERREIRA</t>
  </si>
  <si>
    <t>10 IMPASSE DU TOUR DES HAIES</t>
  </si>
  <si>
    <t>80640</t>
  </si>
  <si>
    <t>hornoy le bourg</t>
  </si>
  <si>
    <t>+33638308373</t>
  </si>
  <si>
    <t xml:space="preserve"> ANTONIO FERREIRA=6A05485048653</t>
  </si>
  <si>
    <t>Cabinet osmose</t>
  </si>
  <si>
    <t>Eudes</t>
  </si>
  <si>
    <t>Lambert</t>
  </si>
  <si>
    <t>5 avenue de la 2eme Db</t>
  </si>
  <si>
    <t>61200</t>
  </si>
  <si>
    <t>argentan</t>
  </si>
  <si>
    <t>+33683276511</t>
  </si>
  <si>
    <t>Eudes Lambert=6A05601707990</t>
  </si>
  <si>
    <t>Thierry Besson ei</t>
  </si>
  <si>
    <t>Thierry</t>
  </si>
  <si>
    <t>Besson</t>
  </si>
  <si>
    <t>147 rue d auxonne</t>
  </si>
  <si>
    <t>21000</t>
  </si>
  <si>
    <t>Dijon</t>
  </si>
  <si>
    <t>+33611787398</t>
  </si>
  <si>
    <t>Thierry Besson=6A05709250275</t>
  </si>
  <si>
    <t>Eurl jarreton ludovic</t>
  </si>
  <si>
    <t>Jarreton</t>
  </si>
  <si>
    <t>2581 rue Chez noillac</t>
  </si>
  <si>
    <t>24340</t>
  </si>
  <si>
    <t>Vieux mareuil</t>
  </si>
  <si>
    <t>+33686585186</t>
  </si>
  <si>
    <t>Ludovic Jarreton=6A05671544709</t>
  </si>
  <si>
    <t>TOUR TRINITY
ALAIN AFFLELOU</t>
  </si>
  <si>
    <t>Linda</t>
  </si>
  <si>
    <t>Divrik</t>
  </si>
  <si>
    <t>QUAI DE LIVRAISONS
19 AVENUE DE LA DIVISION LECLERC</t>
  </si>
  <si>
    <t>Puteaux</t>
  </si>
  <si>
    <t>+33673493079</t>
  </si>
  <si>
    <t>Noir - PANTONE Black 6 C &amp; Aluminium - PANTONE 10077 C</t>
  </si>
  <si>
    <t>Linda Divrik=6A05674877613</t>
  </si>
  <si>
    <t>Horaires : 8H30 – 15H30.
Les livreurs (CHRONOPOST, COLISSIMO, UPS, DPD…) doivent se présenter au service de sécurité muni de leur pièce d’identité.</t>
  </si>
  <si>
    <t>Bois en Veine</t>
  </si>
  <si>
    <t>Nicolas</t>
  </si>
  <si>
    <t>Marquès</t>
  </si>
  <si>
    <t>3 rue du Lavoir</t>
  </si>
  <si>
    <t>21220</t>
  </si>
  <si>
    <t>Chevannes</t>
  </si>
  <si>
    <t>+33601441882</t>
  </si>
  <si>
    <t>Nicolas Marquès=6A05674827984</t>
  </si>
  <si>
    <t>Helene lambert</t>
  </si>
  <si>
    <t>Helene</t>
  </si>
  <si>
    <t>+33603875458</t>
  </si>
  <si>
    <t>Helene Lambert=6A05709473490</t>
  </si>
  <si>
    <t>Association Osmose</t>
  </si>
  <si>
    <t>+33967045916</t>
  </si>
  <si>
    <t>Eudes Lambert=6A05671653951</t>
  </si>
  <si>
    <t>Blanc - PANTONE White C</t>
  </si>
  <si>
    <t>MAVIOFFICEMANAGER</t>
  </si>
  <si>
    <t>Maeva</t>
  </si>
  <si>
    <t>DAUMUR</t>
  </si>
  <si>
    <t>62 rue angela davis</t>
  </si>
  <si>
    <t>34570</t>
  </si>
  <si>
    <t>MURVIEL-LES-MONTPELLIER</t>
  </si>
  <si>
    <t>+33760220366</t>
  </si>
  <si>
    <t>Maeva DAUMUR=6A05709576108</t>
  </si>
  <si>
    <t>MILOWATT</t>
  </si>
  <si>
    <t>Michael</t>
  </si>
  <si>
    <t>ZIBELLI</t>
  </si>
  <si>
    <t>293 Rue Du Vercors</t>
  </si>
  <si>
    <t>G4</t>
  </si>
  <si>
    <t>34070</t>
  </si>
  <si>
    <t>Montpellier</t>
  </si>
  <si>
    <t>+33617783437</t>
  </si>
  <si>
    <t>Michael ZIBELLI=6A05795974130</t>
  </si>
  <si>
    <t>Aluminium - PANTONE 10077 C</t>
  </si>
  <si>
    <t>Ramses</t>
  </si>
  <si>
    <t>Antoine</t>
  </si>
  <si>
    <t>Chauchat</t>
  </si>
  <si>
    <t>80 rue Orfila</t>
  </si>
  <si>
    <t>75020</t>
  </si>
  <si>
    <t>Paris</t>
  </si>
  <si>
    <t>+33648293636</t>
  </si>
  <si>
    <t>Antoine Chauchat=6A05796564255</t>
  </si>
  <si>
    <t>ID Concrete</t>
  </si>
  <si>
    <t>Paul</t>
  </si>
  <si>
    <t>Muller</t>
  </si>
  <si>
    <t>4 rue de l’orge</t>
  </si>
  <si>
    <t>67190</t>
  </si>
  <si>
    <t>Mutzig</t>
  </si>
  <si>
    <t>+33750869748</t>
  </si>
  <si>
    <t>Paul  Muller=6A05868090118</t>
  </si>
  <si>
    <t>Lamato</t>
  </si>
  <si>
    <t>Perrier</t>
  </si>
  <si>
    <t>Laetitia</t>
  </si>
  <si>
    <t>125 rue des plaines</t>
  </si>
  <si>
    <t>42520</t>
  </si>
  <si>
    <t>Lupé</t>
  </si>
  <si>
    <t>+33676058869</t>
  </si>
  <si>
    <t>Perrier Laetitia=6A05805338464</t>
  </si>
  <si>
    <t>Bam scientific consulting</t>
  </si>
  <si>
    <t>Baptiste</t>
  </si>
  <si>
    <t>Mouginot</t>
  </si>
  <si>
    <t>15 rue de la voie romaine</t>
  </si>
  <si>
    <t>43260</t>
  </si>
  <si>
    <t>Saint Etienne Lardeyrol</t>
  </si>
  <si>
    <t>+33652055233</t>
  </si>
  <si>
    <t>Baptiste	Mouginot=6A05861066134</t>
  </si>
  <si>
    <t>Damien Clauzel</t>
  </si>
  <si>
    <t>Damien</t>
  </si>
  <si>
    <t>Clauzel</t>
  </si>
  <si>
    <t>45 rue Hippolyte Kahn</t>
  </si>
  <si>
    <t>69100</t>
  </si>
  <si>
    <t>Villeurbanne</t>
  </si>
  <si>
    <t>+33679040090</t>
  </si>
  <si>
    <t>Damien	Clauzel=6A05796564262</t>
  </si>
  <si>
    <t>100% fermeture</t>
  </si>
  <si>
    <t>Vivien</t>
  </si>
  <si>
    <t>Ciesielski</t>
  </si>
  <si>
    <t>10 rue de paray</t>
  </si>
  <si>
    <t>03200</t>
  </si>
  <si>
    <t>Abrest</t>
  </si>
  <si>
    <t>+33664336347</t>
  </si>
  <si>
    <t>Vivien Ciesielski=6A05919281809</t>
  </si>
  <si>
    <t>OKO SOLUTION</t>
  </si>
  <si>
    <t>Alexandre</t>
  </si>
  <si>
    <t>OKOROKOFF</t>
  </si>
  <si>
    <t>157 avenue Gaston Imbert</t>
  </si>
  <si>
    <t>Rousset Parc 2</t>
  </si>
  <si>
    <t>13790</t>
  </si>
  <si>
    <t>ROUSSET</t>
  </si>
  <si>
    <t>+33613369058</t>
  </si>
  <si>
    <t>OKOROKOFF=6A05868407695</t>
  </si>
  <si>
    <t>BELESCO</t>
  </si>
  <si>
    <t>Lieven</t>
  </si>
  <si>
    <t>Vanstraelen</t>
  </si>
  <si>
    <t>Rue des Canadiens 7</t>
  </si>
  <si>
    <t>7180</t>
  </si>
  <si>
    <t>Seneffe</t>
  </si>
  <si>
    <t>+32495551559</t>
  </si>
  <si>
    <t>Lieven Vanstraelen=T61003973472B7180</t>
  </si>
  <si>
    <t>Intuicia Éducation</t>
  </si>
  <si>
    <t>Rony</t>
  </si>
  <si>
    <t>Germon</t>
  </si>
  <si>
    <t>325 chemin du petit bonheur</t>
  </si>
  <si>
    <t>34670</t>
  </si>
  <si>
    <t>Baillargues</t>
  </si>
  <si>
    <t>+33763261551</t>
  </si>
  <si>
    <t>Rony Germon=6A05941802690</t>
  </si>
  <si>
    <t>Et si</t>
  </si>
  <si>
    <t>Line</t>
  </si>
  <si>
    <t>Souris</t>
  </si>
  <si>
    <t>Saint-Étienne-lardeyrol</t>
  </si>
  <si>
    <t>+33749787236</t>
  </si>
  <si>
    <t>Line	Souris=6A05919700980</t>
  </si>
  <si>
    <t>sarl lemble</t>
  </si>
  <si>
    <t>Edouard</t>
  </si>
  <si>
    <t>110, Rue De Montreuil</t>
  </si>
  <si>
    <t>PARIS</t>
  </si>
  <si>
    <t>75011</t>
  </si>
  <si>
    <t>+33682011965</t>
  </si>
  <si>
    <t>Edouard	Edouard=6A05959226822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</si>
</sst>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0&quot; &quot;"/>
    <numFmt numFmtId="178" formatCode="#,##0.00\ &quot;€&quot;;\-#,##0.00\ &quot;€&quot;"/>
    <numFmt numFmtId="179" formatCode="&quot;Montant : &quot;#,##0.00&quot; euros&quot;"/>
    <numFmt numFmtId="180" formatCode="#,##0.00[$€-2]"/>
  </numFmts>
  <fonts count="43">
    <font>
      <sz val="10"/>
      <color indexed="8"/>
      <name val="Arial"/>
      <charset val="134"/>
    </font>
    <font>
      <sz val="10"/>
      <color rgb="FF000000"/>
      <name val="Helvetica Neue"/>
      <charset val="134"/>
      <scheme val="minor"/>
    </font>
    <font>
      <b/>
      <sz val="11"/>
      <color theme="1"/>
      <name val="Helvetica Neue"/>
      <charset val="134"/>
      <scheme val="minor"/>
    </font>
    <font>
      <sz val="10"/>
      <color theme="1"/>
      <name val="Helvetica Neue"/>
      <charset val="134"/>
      <scheme val="minor"/>
    </font>
    <font>
      <sz val="10"/>
      <name val="Arial"/>
      <charset val="134"/>
    </font>
    <font>
      <b/>
      <sz val="14"/>
      <color theme="0" tint="-0.05"/>
      <name val="Calibri"/>
      <charset val="134"/>
    </font>
    <font>
      <b/>
      <sz val="14"/>
      <color indexed="9"/>
      <name val="Calibri"/>
      <charset val="134"/>
    </font>
    <font>
      <b/>
      <sz val="11"/>
      <color indexed="9"/>
      <name val="Arial"/>
      <charset val="134"/>
    </font>
    <font>
      <b/>
      <sz val="14"/>
      <color indexed="8"/>
      <name val="Arial"/>
      <charset val="134"/>
    </font>
    <font>
      <sz val="14"/>
      <color indexed="8"/>
      <name val="Arial"/>
      <charset val="134"/>
    </font>
    <font>
      <b/>
      <sz val="10"/>
      <color rgb="FF000000"/>
      <name val="Arial"/>
      <charset val="134"/>
    </font>
    <font>
      <sz val="11"/>
      <color indexed="8"/>
      <name val="Arial"/>
      <charset val="134"/>
    </font>
    <font>
      <b/>
      <sz val="11"/>
      <color indexed="8"/>
      <name val="Arial"/>
      <charset val="134"/>
    </font>
    <font>
      <b/>
      <i/>
      <sz val="11"/>
      <color indexed="8"/>
      <name val="Arial"/>
      <charset val="134"/>
    </font>
    <font>
      <b/>
      <sz val="18"/>
      <color indexed="8"/>
      <name val="Arial"/>
      <charset val="134"/>
    </font>
    <font>
      <sz val="11"/>
      <color indexed="8"/>
      <name val="Calibri"/>
      <charset val="134"/>
    </font>
    <font>
      <b/>
      <sz val="11"/>
      <name val="Arial"/>
      <charset val="134"/>
    </font>
    <font>
      <sz val="11"/>
      <name val="Arial"/>
      <charset val="134"/>
    </font>
    <font>
      <sz val="12"/>
      <color indexed="8"/>
      <name val="Calibri"/>
      <charset val="134"/>
    </font>
    <font>
      <sz val="12"/>
      <name val="Calibri"/>
      <charset val="134"/>
    </font>
    <font>
      <b/>
      <sz val="12"/>
      <name val="Arial"/>
      <charset val="134"/>
    </font>
    <font>
      <b/>
      <sz val="11"/>
      <color indexed="8"/>
      <name val="Calibri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0"/>
      <color rgb="FF00000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-0.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ill="0" applyBorder="0" applyProtection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8" borderId="2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26" applyNumberFormat="0" applyAlignment="0" applyProtection="0">
      <alignment vertical="center"/>
    </xf>
    <xf numFmtId="0" fontId="32" fillId="10" borderId="27" applyNumberFormat="0" applyAlignment="0" applyProtection="0">
      <alignment vertical="center"/>
    </xf>
    <xf numFmtId="0" fontId="33" fillId="10" borderId="26" applyNumberFormat="0" applyAlignment="0" applyProtection="0">
      <alignment vertical="center"/>
    </xf>
    <xf numFmtId="0" fontId="34" fillId="11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6" fillId="0" borderId="30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" fillId="0" borderId="0" applyNumberFormat="0" applyFont="0" applyFill="0" applyBorder="0" applyProtection="0"/>
  </cellStyleXfs>
  <cellXfs count="87">
    <xf numFmtId="0" fontId="0" fillId="0" borderId="0" xfId="0" applyFont="1" applyAlignment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2" fillId="2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Alignment="1"/>
    <xf numFmtId="0" fontId="0" fillId="0" borderId="0" xfId="0" applyNumberFormat="1" applyFont="1" applyAlignment="1"/>
    <xf numFmtId="176" fontId="0" fillId="0" borderId="0" xfId="0" applyNumberFormat="1" applyFont="1" applyAlignment="1"/>
    <xf numFmtId="0" fontId="5" fillId="0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0" fillId="5" borderId="0" xfId="0" applyFont="1" applyFill="1" applyBorder="1" applyAlignment="1"/>
    <xf numFmtId="176" fontId="0" fillId="5" borderId="0" xfId="0" applyNumberFormat="1" applyFont="1" applyFill="1" applyBorder="1" applyAlignment="1"/>
    <xf numFmtId="0" fontId="0" fillId="5" borderId="1" xfId="0" applyFont="1" applyFill="1" applyBorder="1" applyAlignment="1"/>
    <xf numFmtId="0" fontId="0" fillId="0" borderId="1" xfId="0" applyFont="1" applyBorder="1" applyAlignment="1"/>
    <xf numFmtId="0" fontId="7" fillId="5" borderId="5" xfId="0" applyFont="1" applyFill="1" applyBorder="1" applyAlignment="1">
      <alignment vertical="center" wrapText="1"/>
    </xf>
    <xf numFmtId="49" fontId="8" fillId="5" borderId="0" xfId="0" applyNumberFormat="1" applyFont="1" applyFill="1" applyBorder="1" applyAlignment="1">
      <alignment horizontal="right" vertical="center" wrapText="1"/>
    </xf>
    <xf numFmtId="0" fontId="9" fillId="5" borderId="0" xfId="0" applyFont="1" applyFill="1" applyBorder="1" applyAlignment="1"/>
    <xf numFmtId="0" fontId="9" fillId="5" borderId="1" xfId="0" applyFont="1" applyFill="1" applyBorder="1" applyAlignment="1"/>
    <xf numFmtId="49" fontId="10" fillId="5" borderId="5" xfId="0" applyNumberFormat="1" applyFont="1" applyFill="1" applyBorder="1" applyAlignment="1">
      <alignment vertical="center" wrapText="1"/>
    </xf>
    <xf numFmtId="0" fontId="11" fillId="5" borderId="0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1" fillId="5" borderId="5" xfId="0" applyFont="1" applyFill="1" applyBorder="1" applyAlignment="1">
      <alignment vertical="center"/>
    </xf>
    <xf numFmtId="176" fontId="11" fillId="5" borderId="0" xfId="0" applyNumberFormat="1" applyFont="1" applyFill="1" applyBorder="1" applyAlignment="1">
      <alignment vertical="center"/>
    </xf>
    <xf numFmtId="49" fontId="12" fillId="5" borderId="5" xfId="0" applyNumberFormat="1" applyFont="1" applyFill="1" applyBorder="1" applyAlignment="1">
      <alignment horizontal="left" vertical="center" wrapText="1"/>
    </xf>
    <xf numFmtId="0" fontId="12" fillId="5" borderId="0" xfId="0" applyFont="1" applyFill="1" applyBorder="1" applyAlignment="1">
      <alignment horizontal="left" vertical="center"/>
    </xf>
    <xf numFmtId="0" fontId="0" fillId="0" borderId="0" xfId="0" applyNumberFormat="1" applyFont="1" applyFill="1" applyAlignment="1"/>
    <xf numFmtId="0" fontId="13" fillId="5" borderId="0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49" fontId="14" fillId="5" borderId="5" xfId="0" applyNumberFormat="1" applyFont="1" applyFill="1" applyBorder="1" applyAlignment="1">
      <alignment horizontal="center"/>
    </xf>
    <xf numFmtId="0" fontId="15" fillId="0" borderId="1" xfId="0" applyFont="1" applyBorder="1" applyAlignment="1"/>
    <xf numFmtId="0" fontId="15" fillId="5" borderId="6" xfId="0" applyFont="1" applyFill="1" applyBorder="1" applyAlignment="1"/>
    <xf numFmtId="0" fontId="0" fillId="5" borderId="7" xfId="0" applyFont="1" applyFill="1" applyBorder="1" applyAlignment="1"/>
    <xf numFmtId="176" fontId="0" fillId="5" borderId="7" xfId="0" applyNumberFormat="1" applyFont="1" applyFill="1" applyBorder="1" applyAlignment="1"/>
    <xf numFmtId="0" fontId="0" fillId="5" borderId="8" xfId="0" applyFont="1" applyFill="1" applyBorder="1" applyAlignment="1"/>
    <xf numFmtId="49" fontId="16" fillId="5" borderId="9" xfId="0" applyNumberFormat="1" applyFont="1" applyFill="1" applyBorder="1" applyAlignment="1">
      <alignment horizontal="center" vertical="center" wrapText="1"/>
    </xf>
    <xf numFmtId="176" fontId="16" fillId="5" borderId="9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0" fontId="17" fillId="6" borderId="9" xfId="0" applyNumberFormat="1" applyFont="1" applyFill="1" applyBorder="1" applyAlignment="1">
      <alignment horizontal="center" vertical="center"/>
    </xf>
    <xf numFmtId="176" fontId="17" fillId="6" borderId="9" xfId="0" applyNumberFormat="1" applyFont="1" applyFill="1" applyBorder="1" applyAlignment="1">
      <alignment horizontal="center" vertical="center"/>
    </xf>
    <xf numFmtId="0" fontId="17" fillId="5" borderId="9" xfId="0" applyNumberFormat="1" applyFont="1" applyFill="1" applyBorder="1" applyAlignment="1">
      <alignment horizontal="center" vertical="center"/>
    </xf>
    <xf numFmtId="177" fontId="17" fillId="5" borderId="9" xfId="0" applyNumberFormat="1" applyFont="1" applyFill="1" applyBorder="1" applyAlignment="1">
      <alignment horizontal="center" vertical="center" wrapText="1"/>
    </xf>
    <xf numFmtId="176" fontId="17" fillId="5" borderId="9" xfId="0" applyNumberFormat="1" applyFont="1" applyFill="1" applyBorder="1" applyAlignment="1">
      <alignment horizontal="center" vertical="center" wrapText="1"/>
    </xf>
    <xf numFmtId="177" fontId="17" fillId="5" borderId="9" xfId="0" applyNumberFormat="1" applyFont="1" applyFill="1" applyBorder="1" applyAlignment="1">
      <alignment vertical="center" wrapText="1"/>
    </xf>
    <xf numFmtId="0" fontId="16" fillId="7" borderId="9" xfId="0" applyFont="1" applyFill="1" applyBorder="1" applyAlignment="1">
      <alignment horizontal="center" vertical="center"/>
    </xf>
    <xf numFmtId="176" fontId="16" fillId="7" borderId="9" xfId="0" applyNumberFormat="1" applyFont="1" applyFill="1" applyBorder="1" applyAlignment="1">
      <alignment horizontal="center" vertical="center"/>
    </xf>
    <xf numFmtId="178" fontId="16" fillId="7" borderId="9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176" fontId="19" fillId="5" borderId="11" xfId="0" applyNumberFormat="1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49" fontId="20" fillId="5" borderId="13" xfId="0" applyNumberFormat="1" applyFont="1" applyFill="1" applyBorder="1" applyAlignment="1">
      <alignment horizontal="center" vertical="center" wrapText="1"/>
    </xf>
    <xf numFmtId="0" fontId="4" fillId="5" borderId="14" xfId="0" applyFont="1" applyFill="1" applyBorder="1" applyAlignment="1"/>
    <xf numFmtId="176" fontId="4" fillId="5" borderId="14" xfId="0" applyNumberFormat="1" applyFont="1" applyFill="1" applyBorder="1" applyAlignment="1"/>
    <xf numFmtId="0" fontId="4" fillId="5" borderId="15" xfId="0" applyFont="1" applyFill="1" applyBorder="1" applyAlignment="1"/>
    <xf numFmtId="49" fontId="17" fillId="5" borderId="5" xfId="0" applyNumberFormat="1" applyFont="1" applyFill="1" applyBorder="1" applyAlignment="1">
      <alignment horizontal="center"/>
    </xf>
    <xf numFmtId="0" fontId="4" fillId="5" borderId="0" xfId="0" applyFont="1" applyFill="1" applyBorder="1" applyAlignment="1"/>
    <xf numFmtId="176" fontId="4" fillId="5" borderId="0" xfId="0" applyNumberFormat="1" applyFont="1" applyFill="1" applyBorder="1" applyAlignment="1"/>
    <xf numFmtId="0" fontId="4" fillId="5" borderId="1" xfId="0" applyFont="1" applyFill="1" applyBorder="1" applyAlignment="1"/>
    <xf numFmtId="179" fontId="21" fillId="4" borderId="1" xfId="0" applyNumberFormat="1" applyFont="1" applyFill="1" applyBorder="1" applyAlignment="1">
      <alignment horizontal="center" vertical="center"/>
    </xf>
    <xf numFmtId="180" fontId="16" fillId="5" borderId="16" xfId="0" applyNumberFormat="1" applyFont="1" applyFill="1" applyBorder="1" applyAlignment="1">
      <alignment horizontal="center" vertical="center"/>
    </xf>
    <xf numFmtId="0" fontId="4" fillId="5" borderId="17" xfId="0" applyFont="1" applyFill="1" applyBorder="1" applyAlignment="1"/>
    <xf numFmtId="176" fontId="4" fillId="5" borderId="17" xfId="0" applyNumberFormat="1" applyFont="1" applyFill="1" applyBorder="1" applyAlignment="1"/>
    <xf numFmtId="0" fontId="4" fillId="5" borderId="18" xfId="0" applyFont="1" applyFill="1" applyBorder="1" applyAlignment="1"/>
    <xf numFmtId="49" fontId="16" fillId="5" borderId="13" xfId="0" applyNumberFormat="1" applyFont="1" applyFill="1" applyBorder="1" applyAlignment="1">
      <alignment horizontal="center" vertical="center"/>
    </xf>
    <xf numFmtId="49" fontId="17" fillId="5" borderId="5" xfId="0" applyNumberFormat="1" applyFont="1" applyFill="1" applyBorder="1" applyAlignment="1">
      <alignment horizontal="center" vertical="center"/>
    </xf>
    <xf numFmtId="49" fontId="17" fillId="5" borderId="5" xfId="0" applyNumberFormat="1" applyFont="1" applyFill="1" applyBorder="1" applyAlignment="1">
      <alignment horizontal="center" vertical="center" wrapText="1"/>
    </xf>
    <xf numFmtId="49" fontId="17" fillId="5" borderId="0" xfId="0" applyNumberFormat="1" applyFont="1" applyFill="1" applyBorder="1" applyAlignment="1">
      <alignment horizontal="center" vertical="center"/>
    </xf>
    <xf numFmtId="176" fontId="17" fillId="5" borderId="0" xfId="0" applyNumberFormat="1" applyFont="1" applyFill="1" applyBorder="1" applyAlignment="1">
      <alignment horizontal="center" vertical="center"/>
    </xf>
    <xf numFmtId="49" fontId="17" fillId="5" borderId="1" xfId="0" applyNumberFormat="1" applyFont="1" applyFill="1" applyBorder="1" applyAlignment="1">
      <alignment horizontal="center" vertical="center"/>
    </xf>
    <xf numFmtId="49" fontId="16" fillId="6" borderId="19" xfId="0" applyNumberFormat="1" applyFont="1" applyFill="1" applyBorder="1" applyAlignment="1">
      <alignment horizontal="center" vertical="center"/>
    </xf>
    <xf numFmtId="49" fontId="16" fillId="6" borderId="20" xfId="0" applyNumberFormat="1" applyFont="1" applyFill="1" applyBorder="1" applyAlignment="1">
      <alignment horizontal="center" vertical="center"/>
    </xf>
    <xf numFmtId="49" fontId="16" fillId="5" borderId="5" xfId="0" applyNumberFormat="1" applyFont="1" applyFill="1" applyBorder="1" applyAlignment="1">
      <alignment horizontal="center" vertical="center"/>
    </xf>
    <xf numFmtId="49" fontId="17" fillId="5" borderId="5" xfId="0" applyNumberFormat="1" applyFont="1" applyFill="1" applyBorder="1" applyAlignment="1">
      <alignment horizontal="center" wrapText="1"/>
    </xf>
    <xf numFmtId="49" fontId="17" fillId="5" borderId="21" xfId="0" applyNumberFormat="1" applyFont="1" applyFill="1" applyBorder="1" applyAlignment="1">
      <alignment horizontal="center" wrapText="1"/>
    </xf>
    <xf numFmtId="0" fontId="4" fillId="5" borderId="0" xfId="0" applyFont="1" applyFill="1" applyAlignment="1"/>
    <xf numFmtId="176" fontId="4" fillId="5" borderId="0" xfId="0" applyNumberFormat="1" applyFont="1" applyFill="1" applyAlignment="1"/>
    <xf numFmtId="0" fontId="4" fillId="5" borderId="22" xfId="0" applyFont="1" applyFill="1" applyBorder="1" applyAlignment="1"/>
    <xf numFmtId="0" fontId="0" fillId="3" borderId="0" xfId="0" applyNumberFormat="1" applyFont="1" applyFill="1" applyAlignment="1"/>
    <xf numFmtId="176" fontId="0" fillId="3" borderId="0" xfId="0" applyNumberFormat="1" applyFont="1" applyFill="1" applyAlignment="1"/>
    <xf numFmtId="0" fontId="3" fillId="0" borderId="0" xfId="0" applyNumberFormat="1" applyFont="1" applyFill="1" applyBorder="1" applyAlignment="1" applyProtection="1" quotePrefix="1">
      <alignment horizontal="center"/>
    </xf>
    <xf numFmtId="0" fontId="3" fillId="0" borderId="0" xfId="0" applyNumberFormat="1" applyFont="1" applyFill="1" applyBorder="1" applyAlignment="1" applyProtection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100"/>
      <rgbColor rgb="00FFFFFF"/>
      <rgbColor rgb="00ED7D31"/>
      <rgbColor rgb="00F2F2F2"/>
      <rgbColor rgb="00F3F3F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  <color rgb="001A44E2"/>
      <color rgb="001B46E9"/>
      <color rgb="000070C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55880</xdr:colOff>
      <xdr:row>2</xdr:row>
      <xdr:rowOff>90170</xdr:rowOff>
    </xdr:from>
    <xdr:to>
      <xdr:col>2</xdr:col>
      <xdr:colOff>1596390</xdr:colOff>
      <xdr:row>3</xdr:row>
      <xdr:rowOff>217170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3545" y="1023620"/>
          <a:ext cx="2205355" cy="952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704020202020204"/>
            <a:ea typeface="Arial" panose="020B0704020202020204"/>
            <a:cs typeface="Arial" panose="020B0704020202020204"/>
            <a:sym typeface="Arial" panose="020B070402020202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704020202020204"/>
            <a:ea typeface="Arial" panose="020B0704020202020204"/>
            <a:cs typeface="Arial" panose="020B0704020202020204"/>
            <a:sym typeface="Arial" panose="020B070402020202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showGridLines="0" tabSelected="1" zoomScale="82" zoomScaleNormal="82" workbookViewId="0">
      <selection activeCell="K14" sqref="K14"/>
    </sheetView>
  </sheetViews>
  <sheetFormatPr defaultColWidth="12.6696428571429" defaultRowHeight="15.75" customHeight="1"/>
  <cols>
    <col min="1" max="1" width="5.16964285714286" style="8" customWidth="1"/>
    <col min="2" max="2" width="9.34821428571429" style="8" customWidth="1"/>
    <col min="3" max="3" width="60.0625" style="8" customWidth="1"/>
    <col min="4" max="4" width="12.3482142857143" style="9" customWidth="1"/>
    <col min="5" max="6" width="15.8482142857143" style="8" customWidth="1"/>
    <col min="7" max="7" width="23.3482142857143" style="8" customWidth="1"/>
    <col min="8" max="8" width="27.1696428571429" style="8" customWidth="1"/>
    <col min="9" max="16384" width="12.6696428571429" style="8" customWidth="1"/>
  </cols>
  <sheetData>
    <row r="1" ht="48.75" customHeight="1" spans="1:11">
      <c r="A1" s="10"/>
      <c r="B1" s="11"/>
      <c r="C1" s="12"/>
      <c r="D1" s="13"/>
      <c r="E1" s="12"/>
      <c r="F1" s="12"/>
      <c r="G1" s="12"/>
      <c r="H1" s="14"/>
    </row>
    <row r="2" ht="24.75" customHeight="1" spans="1:11">
      <c r="A2" s="15"/>
      <c r="B2" s="16"/>
      <c r="C2" s="17"/>
      <c r="D2" s="18"/>
      <c r="E2" s="17"/>
      <c r="F2" s="17"/>
      <c r="G2" s="17"/>
      <c r="H2" s="19"/>
    </row>
    <row r="3" ht="65" customHeight="1" spans="1:11">
      <c r="A3" s="20"/>
      <c r="B3" s="21"/>
      <c r="C3" s="17"/>
      <c r="D3" s="18"/>
      <c r="E3" s="22" t="s">
        <v>0</v>
      </c>
      <c r="F3" s="23"/>
      <c r="G3" s="23"/>
      <c r="H3" s="24"/>
    </row>
    <row r="4" ht="93" customHeight="1" spans="1:11">
      <c r="A4" s="20"/>
      <c r="B4" s="25" t="s">
        <v>1</v>
      </c>
      <c r="C4" s="17"/>
      <c r="D4" s="18"/>
      <c r="E4" s="26"/>
      <c r="F4" s="17"/>
      <c r="G4" s="17"/>
      <c r="H4" s="19"/>
    </row>
    <row r="5" ht="25.5" customHeight="1" spans="1:11">
      <c r="A5" s="27"/>
      <c r="B5" s="28"/>
      <c r="C5" s="26"/>
      <c r="D5" s="29"/>
      <c r="E5" s="17"/>
      <c r="F5" s="17"/>
      <c r="G5" s="17"/>
      <c r="H5" s="19"/>
    </row>
    <row r="6" ht="23.25" customHeight="1" spans="1:11">
      <c r="A6" s="20"/>
      <c r="B6" s="30" t="s">
        <v>2</v>
      </c>
      <c r="C6" s="17"/>
      <c r="D6" s="18"/>
      <c r="E6" s="31"/>
      <c r="F6" s="17"/>
      <c r="G6" s="17"/>
      <c r="H6" s="19"/>
      <c r="K6" s="32"/>
    </row>
    <row r="7" ht="84" customHeight="1" spans="1:11">
      <c r="A7" s="20"/>
      <c r="B7" s="30" t="s">
        <v>3</v>
      </c>
      <c r="C7" s="17"/>
      <c r="D7" s="18"/>
      <c r="E7" s="33"/>
      <c r="F7" s="33"/>
      <c r="G7" s="33"/>
      <c r="H7" s="34"/>
    </row>
    <row r="8" ht="24.75" customHeight="1" spans="1:11">
      <c r="A8" s="20"/>
      <c r="B8" s="35" t="s">
        <v>4</v>
      </c>
      <c r="C8" s="17"/>
      <c r="D8" s="18"/>
      <c r="E8" s="17"/>
      <c r="F8" s="17"/>
      <c r="G8" s="17"/>
      <c r="H8" s="19"/>
    </row>
    <row r="9" ht="27" customHeight="1" spans="1:11">
      <c r="A9" s="36"/>
      <c r="B9" s="37"/>
      <c r="C9" s="38"/>
      <c r="D9" s="39"/>
      <c r="E9" s="38"/>
      <c r="F9" s="38"/>
      <c r="G9" s="38"/>
      <c r="H9" s="40"/>
    </row>
    <row r="10" ht="27.75" customHeight="1" spans="1:11">
      <c r="A10" s="20"/>
      <c r="B10" s="41" t="s">
        <v>5</v>
      </c>
      <c r="C10" s="41" t="s">
        <v>6</v>
      </c>
      <c r="D10" s="42" t="s">
        <v>7</v>
      </c>
      <c r="E10" s="41" t="s">
        <v>8</v>
      </c>
      <c r="F10" s="41" t="s">
        <v>9</v>
      </c>
      <c r="G10" s="41" t="s">
        <v>10</v>
      </c>
      <c r="H10" s="41" t="s">
        <v>11</v>
      </c>
    </row>
    <row r="11" s="7" customFormat="1" ht="15" customHeight="1" spans="1:11">
      <c r="A11" s="43"/>
      <c r="B11" s="44" t="s">
        <v>12</v>
      </c>
      <c r="C11" s="44"/>
      <c r="D11" s="45"/>
      <c r="E11" s="44"/>
      <c r="F11" s="44"/>
      <c r="G11" s="44"/>
      <c r="H11" s="44"/>
    </row>
    <row r="12" s="7" customFormat="1" ht="27.75" customHeight="1" spans="1:11">
      <c r="A12" s="43"/>
      <c r="B12" s="46">
        <v>1</v>
      </c>
      <c r="C12" s="47" t="s">
        <v>13</v>
      </c>
      <c r="D12" s="48">
        <v>30</v>
      </c>
      <c r="E12" s="47">
        <v>0.85</v>
      </c>
      <c r="F12" s="49">
        <v>5.86</v>
      </c>
      <c r="G12" s="47">
        <f>E12+F12</f>
        <v>6.71</v>
      </c>
      <c r="H12" s="47">
        <f>G12*D12</f>
        <v>201.3</v>
      </c>
    </row>
    <row r="13" s="7" customFormat="1" ht="15" customHeight="1" spans="1:11">
      <c r="A13" s="43"/>
      <c r="B13" s="44" t="s">
        <v>14</v>
      </c>
      <c r="C13" s="44"/>
      <c r="D13" s="45"/>
      <c r="E13" s="44"/>
      <c r="F13" s="44"/>
      <c r="G13" s="44"/>
      <c r="H13" s="44"/>
    </row>
    <row r="14" s="7" customFormat="1" ht="27.75" customHeight="1" spans="1:11">
      <c r="A14" s="43"/>
      <c r="B14" s="46">
        <v>2</v>
      </c>
      <c r="C14" s="47" t="s">
        <v>13</v>
      </c>
      <c r="D14" s="48">
        <v>4</v>
      </c>
      <c r="E14" s="47">
        <v>0.85</v>
      </c>
      <c r="F14" s="49">
        <v>5.44</v>
      </c>
      <c r="G14" s="47">
        <f t="shared" ref="G14:G18" si="0">E14+F14</f>
        <v>6.29</v>
      </c>
      <c r="H14" s="47">
        <f t="shared" ref="H14:H18" si="1">G14*D14</f>
        <v>25.16</v>
      </c>
    </row>
    <row r="15" s="7" customFormat="1" ht="15" customHeight="1" spans="1:11">
      <c r="A15" s="43"/>
      <c r="B15" s="44" t="s">
        <v>15</v>
      </c>
      <c r="C15" s="44"/>
      <c r="D15" s="45"/>
      <c r="E15" s="44"/>
      <c r="F15" s="44"/>
      <c r="G15" s="44"/>
      <c r="H15" s="44"/>
    </row>
    <row r="16" s="7" customFormat="1" ht="27.75" customHeight="1" spans="1:11">
      <c r="A16" s="43"/>
      <c r="B16" s="46">
        <v>3</v>
      </c>
      <c r="C16" s="47" t="s">
        <v>13</v>
      </c>
      <c r="D16" s="48"/>
      <c r="E16" s="47">
        <v>0.85</v>
      </c>
      <c r="F16" s="49">
        <v>6.09</v>
      </c>
      <c r="G16" s="47">
        <f t="shared" si="0"/>
        <v>6.94</v>
      </c>
      <c r="H16" s="47">
        <f t="shared" si="1"/>
        <v>0</v>
      </c>
    </row>
    <row r="17" s="7" customFormat="1" ht="15" customHeight="1" spans="1:8">
      <c r="A17" s="43"/>
      <c r="B17" s="44" t="s">
        <v>16</v>
      </c>
      <c r="C17" s="44"/>
      <c r="D17" s="45"/>
      <c r="E17" s="44"/>
      <c r="F17" s="44"/>
      <c r="G17" s="44"/>
      <c r="H17" s="44"/>
    </row>
    <row r="18" s="7" customFormat="1" ht="27.75" customHeight="1" spans="1:8">
      <c r="A18" s="43"/>
      <c r="B18" s="46">
        <v>4</v>
      </c>
      <c r="C18" s="47" t="s">
        <v>13</v>
      </c>
      <c r="D18" s="48"/>
      <c r="E18" s="47">
        <v>0.85</v>
      </c>
      <c r="F18" s="49">
        <v>5.49</v>
      </c>
      <c r="G18" s="47">
        <f t="shared" si="0"/>
        <v>6.34</v>
      </c>
      <c r="H18" s="47">
        <f t="shared" si="1"/>
        <v>0</v>
      </c>
    </row>
    <row r="19" ht="32.25" customHeight="1" spans="1:8">
      <c r="A19" s="20"/>
      <c r="B19" s="50"/>
      <c r="C19" s="50"/>
      <c r="D19" s="51"/>
      <c r="E19" s="50"/>
      <c r="F19" s="52"/>
      <c r="G19" s="52"/>
      <c r="H19" s="52">
        <f>SUM(H12:H18)</f>
        <v>226.46</v>
      </c>
    </row>
    <row r="20" ht="25.5" customHeight="1" spans="1:8">
      <c r="A20" s="53"/>
      <c r="B20" s="54"/>
      <c r="C20" s="55"/>
      <c r="D20" s="56"/>
      <c r="E20" s="55"/>
      <c r="F20" s="55"/>
      <c r="G20" s="55"/>
      <c r="H20" s="57"/>
    </row>
    <row r="21" ht="25.5" customHeight="1" spans="1:8">
      <c r="A21" s="20"/>
      <c r="B21" s="58" t="s">
        <v>17</v>
      </c>
      <c r="C21" s="59"/>
      <c r="D21" s="60"/>
      <c r="E21" s="59"/>
      <c r="F21" s="59"/>
      <c r="G21" s="59"/>
      <c r="H21" s="61"/>
    </row>
    <row r="22" ht="21" customHeight="1" spans="1:8">
      <c r="A22" s="20"/>
      <c r="B22" s="62" t="s">
        <v>18</v>
      </c>
      <c r="C22" s="63"/>
      <c r="D22" s="64"/>
      <c r="E22" s="63"/>
      <c r="F22" s="63"/>
      <c r="G22" s="63"/>
      <c r="H22" s="65"/>
    </row>
    <row r="23" ht="21" customHeight="1" spans="1:8">
      <c r="A23" s="66"/>
      <c r="B23" s="67">
        <f t="array" ref="B23">H19</f>
        <v>226.46</v>
      </c>
      <c r="C23" s="68"/>
      <c r="D23" s="69"/>
      <c r="E23" s="68"/>
      <c r="F23" s="68"/>
      <c r="G23" s="68"/>
      <c r="H23" s="70"/>
    </row>
    <row r="24" ht="21" customHeight="1" spans="1:8">
      <c r="A24" s="20"/>
      <c r="B24" s="71" t="s">
        <v>19</v>
      </c>
      <c r="C24" s="59"/>
      <c r="D24" s="60"/>
      <c r="E24" s="59"/>
      <c r="F24" s="59"/>
      <c r="G24" s="59"/>
      <c r="H24" s="61"/>
    </row>
    <row r="25" ht="21" customHeight="1" spans="1:8">
      <c r="A25" s="20"/>
      <c r="B25" s="72" t="s">
        <v>20</v>
      </c>
      <c r="C25" s="63"/>
      <c r="D25" s="64"/>
      <c r="E25" s="63"/>
      <c r="F25" s="63"/>
      <c r="G25" s="63"/>
      <c r="H25" s="65"/>
    </row>
    <row r="26" ht="21" customHeight="1" spans="1:8">
      <c r="A26" s="20"/>
      <c r="B26" s="73" t="s">
        <v>21</v>
      </c>
      <c r="C26" s="63"/>
      <c r="D26" s="64"/>
      <c r="E26" s="63"/>
      <c r="F26" s="63"/>
      <c r="G26" s="63"/>
      <c r="H26" s="65"/>
    </row>
    <row r="27" ht="21" customHeight="1" spans="1:8">
      <c r="A27" s="20"/>
      <c r="B27" s="72" t="s">
        <v>22</v>
      </c>
      <c r="C27" s="63"/>
      <c r="D27" s="64"/>
      <c r="E27" s="63"/>
      <c r="F27" s="63"/>
      <c r="G27" s="63"/>
      <c r="H27" s="65"/>
    </row>
    <row r="28" ht="21" customHeight="1" spans="1:8">
      <c r="A28" s="20"/>
      <c r="B28" s="72" t="s">
        <v>23</v>
      </c>
      <c r="C28" s="63"/>
      <c r="D28" s="64"/>
      <c r="E28" s="63"/>
      <c r="F28" s="63"/>
      <c r="G28" s="63"/>
      <c r="H28" s="65"/>
    </row>
    <row r="29" ht="21" customHeight="1" spans="1:8">
      <c r="A29" s="20"/>
      <c r="B29" s="72" t="s">
        <v>24</v>
      </c>
      <c r="C29" s="74"/>
      <c r="D29" s="75"/>
      <c r="E29" s="74"/>
      <c r="F29" s="74"/>
      <c r="G29" s="74"/>
      <c r="H29" s="76"/>
    </row>
    <row r="30" ht="21" customHeight="1" spans="1:8">
      <c r="A30" s="20"/>
      <c r="B30" s="72" t="s">
        <v>25</v>
      </c>
      <c r="C30" s="74"/>
      <c r="D30" s="75"/>
      <c r="E30" s="74"/>
      <c r="F30" s="74"/>
      <c r="G30" s="74"/>
      <c r="H30" s="76"/>
    </row>
    <row r="31" ht="21" customHeight="1" spans="1:8">
      <c r="A31" s="20"/>
      <c r="B31" s="72" t="s">
        <v>26</v>
      </c>
      <c r="C31" s="74"/>
      <c r="D31" s="75"/>
      <c r="E31" s="74"/>
      <c r="F31" s="74"/>
      <c r="G31" s="74"/>
      <c r="H31" s="76"/>
    </row>
    <row r="32" s="8" customFormat="1" ht="21" customHeight="1" spans="1:8">
      <c r="A32" s="20"/>
      <c r="B32" s="77" t="s">
        <v>27</v>
      </c>
      <c r="C32" s="78"/>
      <c r="D32" s="78"/>
      <c r="E32" s="78"/>
      <c r="F32" s="78"/>
      <c r="G32" s="78"/>
      <c r="H32" s="78"/>
    </row>
    <row r="33" s="8" customFormat="1" ht="21" customHeight="1" spans="1:8">
      <c r="A33" s="20"/>
      <c r="B33" s="79" t="s">
        <v>28</v>
      </c>
      <c r="C33" s="63"/>
      <c r="D33" s="64"/>
      <c r="E33" s="63"/>
      <c r="F33" s="63"/>
      <c r="G33" s="63"/>
      <c r="H33" s="65"/>
    </row>
    <row r="34" s="8" customFormat="1" ht="21" customHeight="1" spans="1:8">
      <c r="A34" s="20"/>
      <c r="B34" s="73" t="s">
        <v>29</v>
      </c>
      <c r="C34" s="63"/>
      <c r="D34" s="64"/>
      <c r="E34" s="63"/>
      <c r="F34" s="63"/>
      <c r="G34" s="63"/>
      <c r="H34" s="65"/>
    </row>
    <row r="35" s="8" customFormat="1" ht="21" customHeight="1" spans="1:8">
      <c r="A35" s="20"/>
      <c r="B35" s="80" t="s">
        <v>30</v>
      </c>
      <c r="C35" s="63"/>
      <c r="D35" s="64"/>
      <c r="E35" s="63"/>
      <c r="F35" s="63"/>
      <c r="G35" s="63"/>
      <c r="H35" s="65"/>
    </row>
    <row r="36" s="8" customFormat="1" ht="21" customHeight="1" spans="1:8">
      <c r="A36" s="20"/>
      <c r="B36" s="80" t="s">
        <v>31</v>
      </c>
      <c r="C36" s="63"/>
      <c r="D36" s="64"/>
      <c r="E36" s="63"/>
      <c r="F36" s="63"/>
      <c r="G36" s="63"/>
      <c r="H36" s="65"/>
    </row>
    <row r="37" s="8" customFormat="1" ht="12" customHeight="1" spans="1:8">
      <c r="A37"/>
      <c r="B37" s="81"/>
      <c r="C37" s="82"/>
      <c r="D37" s="83"/>
      <c r="E37" s="82"/>
      <c r="F37" s="82"/>
      <c r="G37" s="82"/>
      <c r="H37" s="84"/>
    </row>
    <row r="38" s="8" customFormat="1" customHeight="1" spans="1:8">
      <c r="B38" s="85"/>
      <c r="C38" s="85"/>
      <c r="D38" s="86"/>
      <c r="E38" s="85"/>
      <c r="F38" s="85"/>
      <c r="G38" s="85"/>
      <c r="H38" s="85"/>
    </row>
    <row r="39" s="8" customFormat="1" customHeight="1" spans="1:8">
      <c r="D39" s="9"/>
    </row>
    <row r="40" s="8" customFormat="1" customHeight="1" spans="1:8">
      <c r="D40" s="9"/>
    </row>
  </sheetData>
  <mergeCells count="30">
    <mergeCell ref="B2:H2"/>
    <mergeCell ref="B3:D3"/>
    <mergeCell ref="E3:H3"/>
    <mergeCell ref="B4:D4"/>
    <mergeCell ref="B6:D6"/>
    <mergeCell ref="E6:H6"/>
    <mergeCell ref="B7:D7"/>
    <mergeCell ref="B8:H8"/>
    <mergeCell ref="B9:H9"/>
    <mergeCell ref="B11:H11"/>
    <mergeCell ref="B13:H13"/>
    <mergeCell ref="B15:H15"/>
    <mergeCell ref="B17:H17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E4:H5"/>
  </mergeCells>
  <pageMargins left="0.75" right="0.75" top="1" bottom="1" header="0" footer="0"/>
  <pageSetup paperSize="9" scale="50" orientation="portrait" useFirstPageNumber="1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I22" sqref="I22"/>
    </sheetView>
  </sheetViews>
  <sheetFormatPr defaultColWidth="9.14285714285714" defaultRowHeight="15.2"/>
  <cols>
    <col min="1" max="1" width="23.9642857142857" customWidth="1"/>
    <col min="2" max="2" width="19.6428571428571" customWidth="1"/>
    <col min="8" max="8" width="21.2678571428571" customWidth="1"/>
    <col min="9" max="9" width="22.4642857142857" customWidth="1"/>
    <col min="13" max="13" width="29.9107142857143" customWidth="1"/>
    <col min="14" max="14" width="18.8928571428571" customWidth="1"/>
  </cols>
  <sheetData>
    <row r="1" s="1" customFormat="1" ht="15.75" customHeight="1" spans="1:14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3" t="s">
        <v>38</v>
      </c>
      <c r="H1" s="2"/>
      <c r="I1" s="2" t="s">
        <v>39</v>
      </c>
      <c r="J1" s="2" t="s">
        <v>40</v>
      </c>
      <c r="K1" s="2" t="s">
        <v>41</v>
      </c>
      <c r="L1" s="2" t="s">
        <v>42</v>
      </c>
      <c r="M1" s="4" t="s">
        <v>43</v>
      </c>
      <c r="N1" s="4" t="s">
        <v>44</v>
      </c>
    </row>
    <row r="2" s="1" customFormat="1" ht="15.75" customHeight="1" spans="1:14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46</v>
      </c>
      <c r="G2" s="87" t="s">
        <v>50</v>
      </c>
      <c r="H2" s="5" t="s">
        <v>51</v>
      </c>
      <c r="I2" s="5" t="s">
        <v>12</v>
      </c>
      <c r="J2" s="5" t="s">
        <v>46</v>
      </c>
      <c r="K2" s="88" t="s">
        <v>52</v>
      </c>
      <c r="L2" s="5" t="s">
        <v>53</v>
      </c>
      <c r="M2" s="5" t="s">
        <v>54</v>
      </c>
      <c r="N2" s="5"/>
    </row>
    <row r="3" s="1" customFormat="1" ht="15.75" customHeight="1" spans="1:14">
      <c r="A3" s="5" t="s">
        <v>55</v>
      </c>
      <c r="B3" s="5" t="s">
        <v>46</v>
      </c>
      <c r="C3" s="5" t="s">
        <v>56</v>
      </c>
      <c r="D3" s="5" t="s">
        <v>57</v>
      </c>
      <c r="E3" s="5" t="s">
        <v>58</v>
      </c>
      <c r="F3" s="5" t="s">
        <v>46</v>
      </c>
      <c r="G3" s="87" t="s">
        <v>59</v>
      </c>
      <c r="H3" s="5" t="s">
        <v>60</v>
      </c>
      <c r="I3" s="5" t="s">
        <v>12</v>
      </c>
      <c r="J3" s="5" t="s">
        <v>46</v>
      </c>
      <c r="K3" s="88" t="s">
        <v>61</v>
      </c>
      <c r="L3" s="5" t="s">
        <v>62</v>
      </c>
      <c r="M3" s="5" t="s">
        <v>63</v>
      </c>
      <c r="N3" s="5"/>
    </row>
    <row r="4" s="1" customFormat="1" ht="15.75" customHeight="1" spans="1:14">
      <c r="A4" s="5" t="s">
        <v>64</v>
      </c>
      <c r="B4" s="5" t="s">
        <v>46</v>
      </c>
      <c r="C4" s="5" t="s">
        <v>65</v>
      </c>
      <c r="D4" s="5" t="s">
        <v>66</v>
      </c>
      <c r="E4" s="5" t="s">
        <v>67</v>
      </c>
      <c r="F4" s="5" t="s">
        <v>68</v>
      </c>
      <c r="G4" s="87" t="s">
        <v>69</v>
      </c>
      <c r="H4" s="5" t="s">
        <v>70</v>
      </c>
      <c r="I4" s="5" t="s">
        <v>14</v>
      </c>
      <c r="J4" s="5" t="s">
        <v>46</v>
      </c>
      <c r="K4" s="88" t="s">
        <v>71</v>
      </c>
      <c r="L4" s="5" t="s">
        <v>62</v>
      </c>
      <c r="M4" s="5" t="s">
        <v>72</v>
      </c>
      <c r="N4" s="5"/>
    </row>
    <row r="5" s="1" customFormat="1" ht="15.75" customHeight="1" spans="1:14">
      <c r="A5" s="5" t="s">
        <v>73</v>
      </c>
      <c r="B5" s="5" t="s">
        <v>46</v>
      </c>
      <c r="C5" s="5" t="s">
        <v>74</v>
      </c>
      <c r="D5" s="5" t="s">
        <v>66</v>
      </c>
      <c r="E5" s="5" t="s">
        <v>75</v>
      </c>
      <c r="F5" s="5" t="s">
        <v>46</v>
      </c>
      <c r="G5" s="87" t="s">
        <v>76</v>
      </c>
      <c r="H5" s="5" t="s">
        <v>77</v>
      </c>
      <c r="I5" s="5" t="s">
        <v>14</v>
      </c>
      <c r="J5" s="5" t="s">
        <v>46</v>
      </c>
      <c r="K5" s="88" t="s">
        <v>78</v>
      </c>
      <c r="L5" s="5" t="s">
        <v>79</v>
      </c>
      <c r="M5" s="5" t="s">
        <v>80</v>
      </c>
      <c r="N5" s="5"/>
    </row>
    <row r="6" s="1" customFormat="1" ht="15.75" customHeight="1" spans="1:14">
      <c r="A6" s="5" t="s">
        <v>81</v>
      </c>
      <c r="B6" s="5" t="s">
        <v>46</v>
      </c>
      <c r="C6" s="5" t="s">
        <v>82</v>
      </c>
      <c r="D6" s="5" t="s">
        <v>83</v>
      </c>
      <c r="E6" s="5" t="s">
        <v>84</v>
      </c>
      <c r="F6" s="5" t="s">
        <v>46</v>
      </c>
      <c r="G6" s="87" t="s">
        <v>85</v>
      </c>
      <c r="H6" s="5" t="s">
        <v>86</v>
      </c>
      <c r="I6" s="5" t="s">
        <v>12</v>
      </c>
      <c r="J6" s="5" t="s">
        <v>46</v>
      </c>
      <c r="K6" s="88" t="s">
        <v>87</v>
      </c>
      <c r="L6" s="5" t="s">
        <v>88</v>
      </c>
      <c r="M6" s="5" t="s">
        <v>89</v>
      </c>
      <c r="N6" s="5"/>
    </row>
    <row r="7" s="1" customFormat="1" ht="15.75" customHeight="1" spans="1:14">
      <c r="A7" s="5" t="s">
        <v>90</v>
      </c>
      <c r="B7" s="5" t="s">
        <v>46</v>
      </c>
      <c r="C7" s="5" t="s">
        <v>91</v>
      </c>
      <c r="D7" s="5" t="s">
        <v>92</v>
      </c>
      <c r="E7" s="5" t="s">
        <v>93</v>
      </c>
      <c r="F7" s="5" t="s">
        <v>94</v>
      </c>
      <c r="G7" s="87" t="s">
        <v>95</v>
      </c>
      <c r="H7" s="5" t="s">
        <v>96</v>
      </c>
      <c r="I7" s="5" t="s">
        <v>12</v>
      </c>
      <c r="J7" s="5" t="s">
        <v>46</v>
      </c>
      <c r="K7" s="88" t="s">
        <v>97</v>
      </c>
      <c r="L7" s="5" t="s">
        <v>53</v>
      </c>
      <c r="M7" s="5" t="s">
        <v>98</v>
      </c>
      <c r="N7" s="5"/>
    </row>
    <row r="8" s="1" customFormat="1" ht="15.75" customHeight="1" spans="1:14">
      <c r="A8" s="5" t="s">
        <v>99</v>
      </c>
      <c r="B8" s="5" t="s">
        <v>46</v>
      </c>
      <c r="C8" s="5" t="s">
        <v>100</v>
      </c>
      <c r="D8" s="5" t="s">
        <v>101</v>
      </c>
      <c r="E8" s="5" t="s">
        <v>102</v>
      </c>
      <c r="F8" s="5" t="s">
        <v>46</v>
      </c>
      <c r="G8" s="87" t="s">
        <v>103</v>
      </c>
      <c r="H8" s="5" t="s">
        <v>104</v>
      </c>
      <c r="I8" s="5" t="s">
        <v>12</v>
      </c>
      <c r="J8" s="5" t="s">
        <v>46</v>
      </c>
      <c r="K8" s="88" t="s">
        <v>105</v>
      </c>
      <c r="L8" s="5" t="s">
        <v>53</v>
      </c>
      <c r="M8" s="5" t="s">
        <v>106</v>
      </c>
      <c r="N8" s="5"/>
    </row>
    <row r="9" s="1" customFormat="1" ht="15.75" customHeight="1" spans="1:14">
      <c r="A9" s="5" t="s">
        <v>107</v>
      </c>
      <c r="B9" s="5" t="s">
        <v>46</v>
      </c>
      <c r="C9" s="5" t="s">
        <v>100</v>
      </c>
      <c r="D9" s="5" t="s">
        <v>101</v>
      </c>
      <c r="E9" s="5" t="s">
        <v>108</v>
      </c>
      <c r="F9" s="5" t="s">
        <v>46</v>
      </c>
      <c r="G9" s="87" t="s">
        <v>103</v>
      </c>
      <c r="H9" s="5" t="s">
        <v>109</v>
      </c>
      <c r="I9" s="5" t="s">
        <v>12</v>
      </c>
      <c r="J9" s="5" t="s">
        <v>46</v>
      </c>
      <c r="K9" s="88" t="s">
        <v>110</v>
      </c>
      <c r="L9" s="5" t="s">
        <v>79</v>
      </c>
      <c r="M9" s="5" t="s">
        <v>111</v>
      </c>
      <c r="N9" s="5"/>
    </row>
    <row r="10" s="1" customFormat="1" ht="15.75" customHeight="1" spans="1:14">
      <c r="A10" s="5" t="s">
        <v>112</v>
      </c>
      <c r="B10" s="5" t="s">
        <v>46</v>
      </c>
      <c r="C10" s="5" t="s">
        <v>113</v>
      </c>
      <c r="D10" s="5" t="s">
        <v>114</v>
      </c>
      <c r="E10" s="5" t="s">
        <v>115</v>
      </c>
      <c r="F10" s="5" t="s">
        <v>116</v>
      </c>
      <c r="G10" s="87" t="s">
        <v>117</v>
      </c>
      <c r="H10" s="5" t="s">
        <v>118</v>
      </c>
      <c r="I10" s="5" t="s">
        <v>12</v>
      </c>
      <c r="J10" s="5" t="s">
        <v>46</v>
      </c>
      <c r="K10" s="88" t="s">
        <v>119</v>
      </c>
      <c r="L10" s="5" t="s">
        <v>53</v>
      </c>
      <c r="M10" s="5" t="s">
        <v>120</v>
      </c>
      <c r="N10" s="5"/>
    </row>
    <row r="11" s="1" customFormat="1" ht="15.75" customHeight="1" spans="1:14">
      <c r="A11" s="5" t="s">
        <v>121</v>
      </c>
      <c r="B11" s="5" t="s">
        <v>46</v>
      </c>
      <c r="C11" s="5" t="s">
        <v>122</v>
      </c>
      <c r="D11" s="5" t="s">
        <v>123</v>
      </c>
      <c r="E11" s="5" t="s">
        <v>124</v>
      </c>
      <c r="F11" s="5" t="s">
        <v>46</v>
      </c>
      <c r="G11" s="87" t="s">
        <v>125</v>
      </c>
      <c r="H11" s="5" t="s">
        <v>126</v>
      </c>
      <c r="I11" s="5" t="s">
        <v>12</v>
      </c>
      <c r="J11" s="5" t="s">
        <v>46</v>
      </c>
      <c r="K11" s="88" t="s">
        <v>127</v>
      </c>
      <c r="L11" s="5" t="s">
        <v>88</v>
      </c>
      <c r="M11" s="5" t="s">
        <v>128</v>
      </c>
      <c r="N11" s="5"/>
    </row>
    <row r="12" s="1" customFormat="1" ht="15.75" customHeight="1" spans="1:14">
      <c r="A12" s="5" t="s">
        <v>129</v>
      </c>
      <c r="B12" s="5" t="s">
        <v>46</v>
      </c>
      <c r="C12" s="5" t="s">
        <v>130</v>
      </c>
      <c r="D12" s="5" t="s">
        <v>131</v>
      </c>
      <c r="E12" s="5" t="s">
        <v>132</v>
      </c>
      <c r="F12" s="5" t="s">
        <v>46</v>
      </c>
      <c r="G12" s="87" t="s">
        <v>133</v>
      </c>
      <c r="H12" s="5" t="s">
        <v>134</v>
      </c>
      <c r="I12" s="5" t="s">
        <v>12</v>
      </c>
      <c r="J12" s="5" t="s">
        <v>46</v>
      </c>
      <c r="K12" s="88" t="s">
        <v>135</v>
      </c>
      <c r="L12" s="5" t="s">
        <v>88</v>
      </c>
      <c r="M12" s="5" t="s">
        <v>136</v>
      </c>
      <c r="N12" s="5"/>
    </row>
    <row r="13" s="1" customFormat="1" ht="15.75" customHeight="1" spans="1:14">
      <c r="A13" s="5" t="s">
        <v>137</v>
      </c>
      <c r="B13" s="5" t="s">
        <v>46</v>
      </c>
      <c r="C13" s="5" t="s">
        <v>138</v>
      </c>
      <c r="D13" s="5" t="s">
        <v>139</v>
      </c>
      <c r="E13" s="5" t="s">
        <v>140</v>
      </c>
      <c r="F13" s="5" t="s">
        <v>141</v>
      </c>
      <c r="G13" s="87" t="s">
        <v>142</v>
      </c>
      <c r="H13" s="5" t="s">
        <v>143</v>
      </c>
      <c r="I13" s="5" t="s">
        <v>12</v>
      </c>
      <c r="J13" s="5" t="s">
        <v>46</v>
      </c>
      <c r="K13" s="88" t="s">
        <v>144</v>
      </c>
      <c r="L13" s="5" t="s">
        <v>53</v>
      </c>
      <c r="M13" s="5" t="s">
        <v>145</v>
      </c>
      <c r="N13" s="5"/>
    </row>
    <row r="14" s="1" customFormat="1" ht="15.75" customHeight="1" spans="1:14">
      <c r="A14" s="5" t="s">
        <v>146</v>
      </c>
      <c r="B14" s="5" t="s">
        <v>46</v>
      </c>
      <c r="C14" s="5" t="s">
        <v>147</v>
      </c>
      <c r="D14" s="5" t="s">
        <v>148</v>
      </c>
      <c r="E14" s="5" t="s">
        <v>149</v>
      </c>
      <c r="F14" s="5" t="s">
        <v>46</v>
      </c>
      <c r="G14" s="87" t="s">
        <v>150</v>
      </c>
      <c r="H14" s="5" t="s">
        <v>151</v>
      </c>
      <c r="I14" s="5" t="s">
        <v>14</v>
      </c>
      <c r="J14" s="5" t="s">
        <v>46</v>
      </c>
      <c r="K14" s="88" t="s">
        <v>152</v>
      </c>
      <c r="L14" s="5" t="s">
        <v>79</v>
      </c>
      <c r="M14" s="5" t="s">
        <v>153</v>
      </c>
      <c r="N14" s="5"/>
    </row>
    <row r="15" s="1" customFormat="1" ht="15.75" customHeight="1" spans="1:14">
      <c r="A15" s="5" t="s">
        <v>154</v>
      </c>
      <c r="B15" s="5" t="s">
        <v>46</v>
      </c>
      <c r="C15" s="5" t="s">
        <v>155</v>
      </c>
      <c r="D15" s="5" t="s">
        <v>156</v>
      </c>
      <c r="E15" s="5" t="s">
        <v>157</v>
      </c>
      <c r="F15" s="5" t="s">
        <v>46</v>
      </c>
      <c r="G15" s="87" t="s">
        <v>158</v>
      </c>
      <c r="H15" s="5" t="s">
        <v>159</v>
      </c>
      <c r="I15" s="5" t="s">
        <v>12</v>
      </c>
      <c r="J15" s="5" t="s">
        <v>46</v>
      </c>
      <c r="K15" s="88" t="s">
        <v>160</v>
      </c>
      <c r="L15" s="5" t="s">
        <v>88</v>
      </c>
      <c r="M15" s="5" t="s">
        <v>161</v>
      </c>
      <c r="N15" s="5"/>
    </row>
    <row r="16" s="1" customFormat="1" ht="15.75" customHeight="1" spans="1:14">
      <c r="A16" s="5" t="s">
        <v>162</v>
      </c>
      <c r="B16" s="5" t="s">
        <v>46</v>
      </c>
      <c r="C16" s="5" t="s">
        <v>163</v>
      </c>
      <c r="D16" s="5" t="s">
        <v>164</v>
      </c>
      <c r="E16" s="5" t="s">
        <v>165</v>
      </c>
      <c r="F16" s="5" t="s">
        <v>46</v>
      </c>
      <c r="G16" s="87" t="s">
        <v>166</v>
      </c>
      <c r="H16" s="5" t="s">
        <v>167</v>
      </c>
      <c r="I16" s="5" t="s">
        <v>12</v>
      </c>
      <c r="J16" s="5" t="s">
        <v>46</v>
      </c>
      <c r="K16" s="88" t="s">
        <v>168</v>
      </c>
      <c r="L16" s="5" t="s">
        <v>53</v>
      </c>
      <c r="M16" s="5" t="s">
        <v>169</v>
      </c>
      <c r="N16" s="5"/>
    </row>
    <row r="17" s="1" customFormat="1" ht="15.75" customHeight="1" spans="1:14">
      <c r="A17" s="5" t="s">
        <v>170</v>
      </c>
      <c r="B17" s="5" t="s">
        <v>46</v>
      </c>
      <c r="C17" s="5" t="s">
        <v>171</v>
      </c>
      <c r="D17" s="5" t="s">
        <v>172</v>
      </c>
      <c r="E17" s="5" t="s">
        <v>173</v>
      </c>
      <c r="F17" s="5" t="s">
        <v>46</v>
      </c>
      <c r="G17" s="87" t="s">
        <v>174</v>
      </c>
      <c r="H17" s="5" t="s">
        <v>175</v>
      </c>
      <c r="I17" s="5" t="s">
        <v>12</v>
      </c>
      <c r="J17" s="5" t="s">
        <v>46</v>
      </c>
      <c r="K17" s="88" t="s">
        <v>176</v>
      </c>
      <c r="L17" s="5" t="s">
        <v>88</v>
      </c>
      <c r="M17" s="5" t="s">
        <v>177</v>
      </c>
      <c r="N17" s="5"/>
    </row>
    <row r="18" s="1" customFormat="1" ht="15.75" customHeight="1" spans="1:14">
      <c r="A18" s="5" t="s">
        <v>178</v>
      </c>
      <c r="B18" s="5" t="s">
        <v>46</v>
      </c>
      <c r="C18" s="5" t="s">
        <v>91</v>
      </c>
      <c r="D18" s="5" t="s">
        <v>179</v>
      </c>
      <c r="E18" s="5" t="s">
        <v>180</v>
      </c>
      <c r="F18" s="5" t="s">
        <v>46</v>
      </c>
      <c r="G18" s="87" t="s">
        <v>181</v>
      </c>
      <c r="H18" s="5" t="s">
        <v>182</v>
      </c>
      <c r="I18" s="5" t="s">
        <v>12</v>
      </c>
      <c r="J18" s="5" t="s">
        <v>46</v>
      </c>
      <c r="K18" s="88" t="s">
        <v>183</v>
      </c>
      <c r="L18" s="5" t="s">
        <v>79</v>
      </c>
      <c r="M18" s="5" t="s">
        <v>184</v>
      </c>
      <c r="N18" s="5"/>
    </row>
    <row r="19" s="1" customFormat="1" ht="15.75" customHeight="1" spans="1:14">
      <c r="A19" s="5" t="s">
        <v>185</v>
      </c>
      <c r="B19" s="5"/>
      <c r="C19" s="5" t="s">
        <v>186</v>
      </c>
      <c r="D19" s="5" t="s">
        <v>187</v>
      </c>
      <c r="E19" s="5" t="s">
        <v>188</v>
      </c>
      <c r="F19" s="5"/>
      <c r="G19" s="6">
        <v>92800</v>
      </c>
      <c r="H19" s="5" t="s">
        <v>189</v>
      </c>
      <c r="I19" s="5" t="s">
        <v>12</v>
      </c>
      <c r="J19" s="5"/>
      <c r="K19" s="88" t="s">
        <v>190</v>
      </c>
      <c r="L19" s="5" t="s">
        <v>191</v>
      </c>
      <c r="M19" s="5" t="s">
        <v>192</v>
      </c>
      <c r="N19" s="5" t="s">
        <v>193</v>
      </c>
    </row>
    <row r="20" s="1" customFormat="1" ht="15.75" customHeight="1" spans="1:14">
      <c r="A20" s="5" t="s">
        <v>194</v>
      </c>
      <c r="B20" s="5" t="s">
        <v>46</v>
      </c>
      <c r="C20" s="5" t="s">
        <v>195</v>
      </c>
      <c r="D20" s="5" t="s">
        <v>196</v>
      </c>
      <c r="E20" s="5" t="s">
        <v>197</v>
      </c>
      <c r="F20" s="5" t="s">
        <v>46</v>
      </c>
      <c r="G20" s="87" t="s">
        <v>198</v>
      </c>
      <c r="H20" s="5" t="s">
        <v>199</v>
      </c>
      <c r="I20" s="5" t="s">
        <v>12</v>
      </c>
      <c r="J20" s="5" t="s">
        <v>46</v>
      </c>
      <c r="K20" s="88" t="s">
        <v>200</v>
      </c>
      <c r="L20" s="5" t="s">
        <v>79</v>
      </c>
      <c r="M20" s="5" t="s">
        <v>201</v>
      </c>
      <c r="N20" s="5"/>
    </row>
    <row r="21" s="1" customFormat="1" ht="15.75" customHeight="1" spans="1:14">
      <c r="A21" s="5" t="s">
        <v>202</v>
      </c>
      <c r="B21" s="5" t="s">
        <v>46</v>
      </c>
      <c r="C21" s="5" t="s">
        <v>203</v>
      </c>
      <c r="D21" s="5" t="s">
        <v>164</v>
      </c>
      <c r="E21" s="5" t="s">
        <v>165</v>
      </c>
      <c r="F21" s="5" t="s">
        <v>46</v>
      </c>
      <c r="G21" s="87" t="s">
        <v>166</v>
      </c>
      <c r="H21" s="5" t="s">
        <v>167</v>
      </c>
      <c r="I21" s="5" t="s">
        <v>12</v>
      </c>
      <c r="J21" s="5" t="s">
        <v>46</v>
      </c>
      <c r="K21" s="88" t="s">
        <v>204</v>
      </c>
      <c r="L21" s="5" t="s">
        <v>62</v>
      </c>
      <c r="M21" s="5" t="s">
        <v>205</v>
      </c>
      <c r="N21" s="5"/>
    </row>
    <row r="22" s="1" customFormat="1" ht="15.75" customHeight="1" spans="1:14">
      <c r="A22" s="5" t="s">
        <v>206</v>
      </c>
      <c r="B22" s="5" t="s">
        <v>46</v>
      </c>
      <c r="C22" s="5" t="s">
        <v>163</v>
      </c>
      <c r="D22" s="5" t="s">
        <v>164</v>
      </c>
      <c r="E22" s="5" t="s">
        <v>165</v>
      </c>
      <c r="F22" s="5" t="s">
        <v>46</v>
      </c>
      <c r="G22" s="87" t="s">
        <v>166</v>
      </c>
      <c r="H22" s="5" t="s">
        <v>167</v>
      </c>
      <c r="I22" s="5" t="s">
        <v>12</v>
      </c>
      <c r="J22" s="5" t="s">
        <v>46</v>
      </c>
      <c r="K22" s="88" t="s">
        <v>207</v>
      </c>
      <c r="L22" s="5" t="s">
        <v>46</v>
      </c>
      <c r="M22" s="5" t="s">
        <v>208</v>
      </c>
      <c r="N22" s="5" t="s">
        <v>209</v>
      </c>
    </row>
    <row r="23" s="1" customFormat="1" ht="15.75" customHeight="1" spans="1:14">
      <c r="A23" s="5" t="s">
        <v>210</v>
      </c>
      <c r="B23" s="5" t="s">
        <v>46</v>
      </c>
      <c r="C23" s="5" t="s">
        <v>211</v>
      </c>
      <c r="D23" s="5" t="s">
        <v>212</v>
      </c>
      <c r="E23" s="5" t="s">
        <v>213</v>
      </c>
      <c r="F23" s="5" t="s">
        <v>46</v>
      </c>
      <c r="G23" s="87" t="s">
        <v>214</v>
      </c>
      <c r="H23" s="5" t="s">
        <v>215</v>
      </c>
      <c r="I23" s="5" t="s">
        <v>12</v>
      </c>
      <c r="J23" s="5" t="s">
        <v>46</v>
      </c>
      <c r="K23" s="88" t="s">
        <v>216</v>
      </c>
      <c r="L23" s="5"/>
      <c r="M23" s="5" t="s">
        <v>217</v>
      </c>
      <c r="N23" s="5" t="s">
        <v>79</v>
      </c>
    </row>
    <row r="24" s="1" customFormat="1" ht="15.75" customHeight="1" spans="1:14">
      <c r="A24" s="5" t="s">
        <v>218</v>
      </c>
      <c r="B24" s="5" t="s">
        <v>46</v>
      </c>
      <c r="C24" s="5" t="s">
        <v>219</v>
      </c>
      <c r="D24" s="5" t="s">
        <v>220</v>
      </c>
      <c r="E24" s="5" t="s">
        <v>221</v>
      </c>
      <c r="F24" s="5" t="s">
        <v>222</v>
      </c>
      <c r="G24" s="87" t="s">
        <v>223</v>
      </c>
      <c r="H24" s="5" t="s">
        <v>224</v>
      </c>
      <c r="I24" s="5" t="s">
        <v>12</v>
      </c>
      <c r="J24" s="5" t="s">
        <v>46</v>
      </c>
      <c r="K24" s="88" t="s">
        <v>225</v>
      </c>
      <c r="L24" s="5"/>
      <c r="M24" s="5" t="s">
        <v>226</v>
      </c>
      <c r="N24" s="5" t="s">
        <v>227</v>
      </c>
    </row>
    <row r="25" s="1" customFormat="1" ht="15.75" customHeight="1" spans="1:14">
      <c r="A25" s="5" t="s">
        <v>228</v>
      </c>
      <c r="B25" s="5" t="s">
        <v>46</v>
      </c>
      <c r="C25" s="5" t="s">
        <v>229</v>
      </c>
      <c r="D25" s="5" t="s">
        <v>230</v>
      </c>
      <c r="E25" s="5" t="s">
        <v>231</v>
      </c>
      <c r="F25" s="5" t="s">
        <v>46</v>
      </c>
      <c r="G25" s="87" t="s">
        <v>232</v>
      </c>
      <c r="H25" s="5" t="s">
        <v>233</v>
      </c>
      <c r="I25" s="5" t="s">
        <v>12</v>
      </c>
      <c r="J25" s="5" t="s">
        <v>46</v>
      </c>
      <c r="K25" s="88" t="s">
        <v>234</v>
      </c>
      <c r="L25" s="5" t="s">
        <v>46</v>
      </c>
      <c r="M25" s="5" t="s">
        <v>235</v>
      </c>
      <c r="N25" s="5" t="s">
        <v>88</v>
      </c>
    </row>
    <row r="26" s="1" customFormat="1" ht="15.75" customHeight="1" spans="1:14">
      <c r="A26" s="5" t="s">
        <v>236</v>
      </c>
      <c r="B26" s="5" t="s">
        <v>46</v>
      </c>
      <c r="C26" s="5" t="s">
        <v>237</v>
      </c>
      <c r="D26" s="5" t="s">
        <v>238</v>
      </c>
      <c r="E26" s="5" t="s">
        <v>239</v>
      </c>
      <c r="F26" s="5" t="s">
        <v>46</v>
      </c>
      <c r="G26" s="87" t="s">
        <v>240</v>
      </c>
      <c r="H26" s="5" t="s">
        <v>241</v>
      </c>
      <c r="I26" s="5" t="s">
        <v>12</v>
      </c>
      <c r="J26" s="5" t="s">
        <v>46</v>
      </c>
      <c r="K26" s="88" t="s">
        <v>242</v>
      </c>
      <c r="L26" s="5" t="s">
        <v>46</v>
      </c>
      <c r="M26" s="5" t="s">
        <v>243</v>
      </c>
      <c r="N26" s="5" t="s">
        <v>53</v>
      </c>
    </row>
    <row r="27" s="1" customFormat="1" ht="15.75" customHeight="1" spans="1:14">
      <c r="A27" s="5" t="s">
        <v>244</v>
      </c>
      <c r="B27" s="5" t="s">
        <v>46</v>
      </c>
      <c r="C27" s="5" t="s">
        <v>245</v>
      </c>
      <c r="D27" s="5" t="s">
        <v>246</v>
      </c>
      <c r="E27" s="5" t="s">
        <v>247</v>
      </c>
      <c r="F27" s="5" t="s">
        <v>46</v>
      </c>
      <c r="G27" s="87" t="s">
        <v>248</v>
      </c>
      <c r="H27" s="5" t="s">
        <v>249</v>
      </c>
      <c r="I27" s="5" t="s">
        <v>12</v>
      </c>
      <c r="J27" s="5" t="s">
        <v>46</v>
      </c>
      <c r="K27" s="88" t="s">
        <v>250</v>
      </c>
      <c r="L27" s="5" t="s">
        <v>46</v>
      </c>
      <c r="M27" s="5" t="s">
        <v>251</v>
      </c>
      <c r="N27" s="5" t="s">
        <v>88</v>
      </c>
    </row>
    <row r="28" s="1" customFormat="1" ht="15.75" customHeight="1" spans="1:14">
      <c r="A28" s="5" t="s">
        <v>252</v>
      </c>
      <c r="B28" s="5" t="s">
        <v>46</v>
      </c>
      <c r="C28" s="5" t="s">
        <v>253</v>
      </c>
      <c r="D28" s="5" t="s">
        <v>254</v>
      </c>
      <c r="E28" s="5" t="s">
        <v>255</v>
      </c>
      <c r="F28" s="5" t="s">
        <v>46</v>
      </c>
      <c r="G28" s="87" t="s">
        <v>256</v>
      </c>
      <c r="H28" s="5" t="s">
        <v>257</v>
      </c>
      <c r="I28" s="5" t="s">
        <v>12</v>
      </c>
      <c r="J28" s="5" t="s">
        <v>46</v>
      </c>
      <c r="K28" s="88" t="s">
        <v>258</v>
      </c>
      <c r="L28" s="5" t="s">
        <v>46</v>
      </c>
      <c r="M28" s="5" t="s">
        <v>259</v>
      </c>
      <c r="N28" s="5" t="s">
        <v>88</v>
      </c>
    </row>
    <row r="29" s="1" customFormat="1" ht="15.75" customHeight="1" spans="1:14">
      <c r="A29" s="5" t="s">
        <v>260</v>
      </c>
      <c r="B29" s="5" t="s">
        <v>261</v>
      </c>
      <c r="C29" s="5" t="s">
        <v>262</v>
      </c>
      <c r="D29" s="5" t="s">
        <v>263</v>
      </c>
      <c r="E29" s="5" t="s">
        <v>46</v>
      </c>
      <c r="F29" s="88" t="s">
        <v>264</v>
      </c>
      <c r="G29" s="6" t="s">
        <v>265</v>
      </c>
      <c r="I29" s="5" t="s">
        <v>12</v>
      </c>
      <c r="K29" s="88" t="s">
        <v>266</v>
      </c>
      <c r="L29" s="5" t="s">
        <v>79</v>
      </c>
      <c r="M29" s="5" t="s">
        <v>267</v>
      </c>
    </row>
    <row r="30" s="1" customFormat="1" ht="15.75" customHeight="1" spans="1:14">
      <c r="A30" s="5" t="s">
        <v>268</v>
      </c>
      <c r="B30" s="5" t="s">
        <v>269</v>
      </c>
      <c r="C30" s="5" t="s">
        <v>270</v>
      </c>
      <c r="D30" s="5" t="s">
        <v>271</v>
      </c>
      <c r="E30" s="5" t="s">
        <v>46</v>
      </c>
      <c r="F30" s="88" t="s">
        <v>272</v>
      </c>
      <c r="G30" s="6" t="s">
        <v>273</v>
      </c>
      <c r="I30" s="5" t="s">
        <v>12</v>
      </c>
      <c r="K30" s="88" t="s">
        <v>274</v>
      </c>
      <c r="L30" s="5" t="s">
        <v>79</v>
      </c>
      <c r="M30" s="5" t="s">
        <v>275</v>
      </c>
    </row>
    <row r="31" s="1" customFormat="1" ht="15.75" customHeight="1" spans="1:14">
      <c r="A31" s="5" t="s">
        <v>276</v>
      </c>
      <c r="B31" s="5" t="s">
        <v>277</v>
      </c>
      <c r="C31" s="5" t="s">
        <v>278</v>
      </c>
      <c r="D31" s="5" t="s">
        <v>279</v>
      </c>
      <c r="E31" s="5" t="s">
        <v>280</v>
      </c>
      <c r="F31" s="88" t="s">
        <v>281</v>
      </c>
      <c r="G31" s="6" t="s">
        <v>282</v>
      </c>
      <c r="I31" s="5" t="s">
        <v>12</v>
      </c>
      <c r="K31" s="88" t="s">
        <v>283</v>
      </c>
      <c r="L31" s="5" t="s">
        <v>53</v>
      </c>
      <c r="M31" s="5" t="s">
        <v>284</v>
      </c>
    </row>
    <row r="32" s="1" customFormat="1" ht="15.75" customHeight="1" spans="1:14">
      <c r="A32" s="5" t="s">
        <v>285</v>
      </c>
      <c r="B32" s="5" t="s">
        <v>286</v>
      </c>
      <c r="C32" s="5" t="s">
        <v>287</v>
      </c>
      <c r="D32" s="5" t="s">
        <v>288</v>
      </c>
      <c r="E32" s="5" t="s">
        <v>46</v>
      </c>
      <c r="F32" s="88" t="s">
        <v>289</v>
      </c>
      <c r="G32" s="6" t="s">
        <v>290</v>
      </c>
      <c r="I32" s="5" t="s">
        <v>14</v>
      </c>
      <c r="K32" s="88" t="s">
        <v>291</v>
      </c>
      <c r="L32" s="5" t="s">
        <v>209</v>
      </c>
      <c r="M32" s="5" t="s">
        <v>292</v>
      </c>
    </row>
    <row r="33" s="1" customFormat="1" ht="15.75" customHeight="1" spans="1:13">
      <c r="A33" s="5" t="s">
        <v>293</v>
      </c>
      <c r="B33" s="5" t="s">
        <v>294</v>
      </c>
      <c r="C33" s="5" t="s">
        <v>295</v>
      </c>
      <c r="D33" s="5" t="s">
        <v>296</v>
      </c>
      <c r="E33" s="5" t="s">
        <v>46</v>
      </c>
      <c r="F33" s="88" t="s">
        <v>297</v>
      </c>
      <c r="G33" s="6" t="s">
        <v>298</v>
      </c>
      <c r="I33" s="5" t="s">
        <v>12</v>
      </c>
      <c r="K33" s="88" t="s">
        <v>299</v>
      </c>
      <c r="L33" s="5" t="s">
        <v>88</v>
      </c>
      <c r="M33" s="5" t="s">
        <v>300</v>
      </c>
    </row>
    <row r="34" s="1" customFormat="1" ht="15.75" customHeight="1" spans="1:13">
      <c r="A34" s="5" t="s">
        <v>301</v>
      </c>
      <c r="B34" s="5" t="s">
        <v>302</v>
      </c>
      <c r="C34" s="5" t="s">
        <v>303</v>
      </c>
      <c r="D34" s="5" t="s">
        <v>255</v>
      </c>
      <c r="E34" s="5" t="s">
        <v>46</v>
      </c>
      <c r="F34" s="88" t="s">
        <v>256</v>
      </c>
      <c r="G34" s="6" t="s">
        <v>304</v>
      </c>
      <c r="I34" s="5" t="s">
        <v>12</v>
      </c>
      <c r="K34" s="88" t="s">
        <v>305</v>
      </c>
      <c r="L34" s="5" t="s">
        <v>79</v>
      </c>
      <c r="M34" s="5" t="s">
        <v>306</v>
      </c>
    </row>
    <row r="35" s="1" customFormat="1" ht="15.75" customHeight="1" spans="1:13">
      <c r="A35" s="5" t="s">
        <v>307</v>
      </c>
      <c r="B35" s="5" t="s">
        <v>308</v>
      </c>
      <c r="C35" s="5" t="s">
        <v>308</v>
      </c>
      <c r="D35" s="5" t="s">
        <v>309</v>
      </c>
      <c r="E35" s="5" t="s">
        <v>310</v>
      </c>
      <c r="F35" s="88" t="s">
        <v>311</v>
      </c>
      <c r="G35" s="6" t="s">
        <v>310</v>
      </c>
      <c r="I35" s="5" t="s">
        <v>12</v>
      </c>
      <c r="K35" s="88" t="s">
        <v>312</v>
      </c>
      <c r="L35" s="5" t="s">
        <v>79</v>
      </c>
      <c r="M35" s="5" t="s">
        <v>313</v>
      </c>
    </row>
  </sheetData>
  <autoFilter xmlns:etc="http://www.wps.cn/officeDocument/2017/etCustomData" ref="A1:N3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FACT</vt:lpstr>
      <vt:lpstr> Cmd échantillons B2B 2504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c＇est dan.</cp:lastModifiedBy>
  <dcterms:created xsi:type="dcterms:W3CDTF">2025-07-31T20:13:00Z</dcterms:created>
  <dcterms:modified xsi:type="dcterms:W3CDTF">2026-04-25T23:02:24Z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5B0FFD2815D04E5DE02BED69A869EF7A_43</vt:lpwstr>
  </property>
  <property fmtid="{D5CDD505-2E9C-101B-9397-08002B2CF9AE}" pid="4" name="CalculationRule">
    <vt:i4>0</vt:i4>
  </property>
</Properties>
</file>