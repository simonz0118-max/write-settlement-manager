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00"/>
  </bookViews>
  <sheets>
    <sheet name="F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<sst xmlns="http://schemas.openxmlformats.org/spreadsheetml/2006/main" count="32" uniqueCount="30">
  <si>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FACT - #10066
28/11/25</t>
  </si>
  <si>
    <r>
      <rPr>
        <b/>
        <sz val="10"/>
        <color rgb="FF000000"/>
        <rFont val="Arial"/>
        <charset val="134"/>
      </rPr>
      <t>Consignee:</t>
    </r>
    <r>
      <rPr>
        <sz val="10"/>
        <color rgb="FF000000"/>
        <rFont val="Arial"/>
        <charset val="134"/>
      </rPr>
      <t xml:space="preserve"> JINRIYANGTIAN DIANZISHANGWU SHENZHEN YOUXIANGONGSI 
</t>
    </r>
    <r>
      <rPr>
        <b/>
        <sz val="10"/>
        <color rgb="FF000000"/>
        <rFont val="Arial"/>
        <charset val="134"/>
      </rPr>
      <t>Company number:</t>
    </r>
    <r>
      <rPr>
        <sz val="10"/>
        <color rgb="FF000000"/>
        <rFont val="Arial"/>
        <charset val="134"/>
      </rPr>
      <t xml:space="preserve"> 91440300MA5HW4MP14
</t>
    </r>
    <r>
      <rPr>
        <b/>
        <sz val="10"/>
        <color rgb="FF000000"/>
        <rFont val="Arial"/>
        <charset val="134"/>
      </rPr>
      <t>Adress:</t>
    </r>
    <r>
      <rPr>
        <sz val="10"/>
        <color rgb="FF000000"/>
        <rFont val="Arial"/>
        <charset val="134"/>
      </rPr>
      <t xml:space="preserve">   Parc Technologique Zhengchangda,
23 rue Jian’an, Quartier Fuhai, Bao’an, Shenzhen, Guangdong, Chine</t>
    </r>
  </si>
  <si>
    <t>INVOICED TO:</t>
  </si>
  <si>
    <t>Contractant : Stanislav et théo
Company name : SAS WRITE
Siret : 930 541 164 R.C.S. Paris
Address : 58 rue de Monceau, CS 48756
75380 Paris, France</t>
  </si>
  <si>
    <t>COMMERCIAL INVOICE</t>
  </si>
  <si>
    <t>No</t>
  </si>
  <si>
    <t>Description</t>
  </si>
  <si>
    <t>Quantity</t>
  </si>
  <si>
    <t>COGs (€)</t>
  </si>
  <si>
    <t xml:space="preserve"> Shipping (€)</t>
  </si>
  <si>
    <t>COGs + Shipping (€)</t>
  </si>
  <si>
    <t>Amount (€)</t>
  </si>
  <si>
    <t>Commande 1005
Beige - PANTONE 2475 C
275 pièces</t>
  </si>
  <si>
    <t>Gravure</t>
  </si>
  <si>
    <t>275 coffrets cadeau</t>
  </si>
  <si>
    <t>Stylo eternelX2</t>
  </si>
  <si>
    <t>ATTENTION : Notre compte bancaire est un Compte Business</t>
  </si>
  <si>
    <t>Pour le règlement, merci de faire un virement en EUROS</t>
  </si>
  <si>
    <t>Voici les Coordonnées de notre compte bancaire :</t>
  </si>
  <si>
    <t>IBAN: LU534080000098001475</t>
  </si>
  <si>
    <t xml:space="preserve">SWIFT : BCIRLULL
</t>
  </si>
  <si>
    <t>Account Name: JINRIYANGTIAN DIANZISHANGWU SHENZHEN YOUXIANGONGSI</t>
  </si>
  <si>
    <t>Bank Name: Banking Circle S.A.</t>
  </si>
  <si>
    <t>Bank Address: 2, Boulevard de la Foire L-1528</t>
  </si>
  <si>
    <t>Country : LUXEMBOURG</t>
  </si>
  <si>
    <t>Type of Account: Business account</t>
  </si>
  <si>
    <t xml:space="preserve">REMARQUE : </t>
  </si>
  <si>
    <t>Merci de renseigner le numéro de la facture dans le versement pour que nous puissions identifier votre réglement.</t>
  </si>
  <si>
    <t>Après avoir payé, Nous envoyer la capture d'écran, svp.</t>
  </si>
  <si>
    <t>S'il y a des erreurs ou des omissions dans la facture, notre société a le droit de récupérer le paiement manquant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</si>
</sst>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0&quot; &quot;"/>
    <numFmt numFmtId="178" formatCode="&quot;Montant : &quot;#,##0.00&quot; euros&quot;"/>
    <numFmt numFmtId="179" formatCode="#,##0.00[$€-2]"/>
    <numFmt numFmtId="180" formatCode="#,##0.00\ &quot;€&quot;;\-#,##0.00\ &quot;€&quot;"/>
  </numFmts>
  <fonts count="41">
    <font>
      <sz val="10"/>
      <color indexed="8"/>
      <name val="Arial"/>
      <charset val="134"/>
    </font>
    <font>
      <sz val="10"/>
      <name val="Arial"/>
      <charset val="134"/>
    </font>
    <font>
      <b/>
      <sz val="14"/>
      <color theme="0" tint="-0.05"/>
      <name val="Calibri"/>
      <charset val="134"/>
    </font>
    <font>
      <b/>
      <sz val="14"/>
      <color indexed="9"/>
      <name val="Calibri"/>
      <charset val="134"/>
    </font>
    <font>
      <b/>
      <sz val="11"/>
      <color indexed="9"/>
      <name val="Arial"/>
      <charset val="134"/>
    </font>
    <font>
      <b/>
      <sz val="10"/>
      <color rgb="FF000000"/>
      <name val="Arial"/>
      <charset val="134"/>
    </font>
    <font>
      <sz val="11"/>
      <color indexed="8"/>
      <name val="Arial"/>
      <charset val="134"/>
    </font>
    <font>
      <b/>
      <sz val="11"/>
      <color indexed="8"/>
      <name val="Arial"/>
      <charset val="134"/>
    </font>
    <font>
      <b/>
      <sz val="18"/>
      <color indexed="8"/>
      <name val="Arial"/>
      <charset val="134"/>
    </font>
    <font>
      <sz val="11"/>
      <color indexed="8"/>
      <name val="Calibri"/>
      <charset val="134"/>
    </font>
    <font>
      <b/>
      <sz val="11"/>
      <name val="Arial"/>
      <charset val="134"/>
    </font>
    <font>
      <sz val="11"/>
      <name val="Arial"/>
      <charset val="134"/>
    </font>
    <font>
      <sz val="12"/>
      <color indexed="8"/>
      <name val="Calibri"/>
      <charset val="134"/>
    </font>
    <font>
      <sz val="12"/>
      <name val="Calibri"/>
      <charset val="134"/>
    </font>
    <font>
      <b/>
      <sz val="12"/>
      <name val="Arial"/>
      <charset val="134"/>
    </font>
    <font>
      <b/>
      <sz val="11"/>
      <color indexed="8"/>
      <name val="Calibri"/>
      <charset val="134"/>
    </font>
    <font>
      <b/>
      <sz val="14"/>
      <color indexed="8"/>
      <name val="Arial"/>
      <charset val="134"/>
    </font>
    <font>
      <sz val="14"/>
      <color indexed="8"/>
      <name val="Arial"/>
      <charset val="134"/>
    </font>
    <font>
      <b/>
      <i/>
      <sz val="11"/>
      <color indexed="8"/>
      <name val="Arial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0"/>
      <color theme="1"/>
      <name val="Helvetica Neue"/>
      <charset val="134"/>
      <scheme val="minor"/>
    </font>
    <font>
      <sz val="10"/>
      <color rgb="FF00000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ill="0" applyBorder="0" applyProtection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7" borderId="1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22" applyNumberFormat="0" applyAlignment="0" applyProtection="0">
      <alignment vertical="center"/>
    </xf>
    <xf numFmtId="0" fontId="29" fillId="9" borderId="23" applyNumberFormat="0" applyAlignment="0" applyProtection="0">
      <alignment vertical="center"/>
    </xf>
    <xf numFmtId="0" fontId="30" fillId="9" borderId="22" applyNumberFormat="0" applyAlignment="0" applyProtection="0">
      <alignment vertical="center"/>
    </xf>
    <xf numFmtId="0" fontId="31" fillId="10" borderId="24" applyNumberFormat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9" fillId="0" borderId="0" applyNumberFormat="0" applyFont="0" applyFill="0" applyBorder="0" applyProtection="0"/>
  </cellStyleXfs>
  <cellXfs count="78">
    <xf numFmtId="0" fontId="0" fillId="0" borderId="0" xfId="0" applyFont="1" applyAlignment="1"/>
    <xf numFmtId="0" fontId="1" fillId="0" borderId="0" xfId="0" applyNumberFormat="1" applyFont="1" applyAlignment="1"/>
    <xf numFmtId="0" fontId="0" fillId="0" borderId="0" xfId="0" applyNumberFormat="1" applyFont="1" applyAlignment="1"/>
    <xf numFmtId="176" fontId="0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4" borderId="0" xfId="0" applyFont="1" applyFill="1" applyBorder="1" applyAlignment="1"/>
    <xf numFmtId="176" fontId="0" fillId="4" borderId="0" xfId="0" applyNumberFormat="1" applyFont="1" applyFill="1" applyBorder="1" applyAlignment="1"/>
    <xf numFmtId="0" fontId="0" fillId="0" borderId="1" xfId="0" applyFont="1" applyBorder="1" applyAlignment="1"/>
    <xf numFmtId="0" fontId="4" fillId="4" borderId="4" xfId="0" applyFont="1" applyFill="1" applyBorder="1" applyAlignment="1">
      <alignment vertical="center" wrapText="1"/>
    </xf>
    <xf numFmtId="49" fontId="5" fillId="4" borderId="4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4" borderId="0" xfId="0" applyFont="1" applyFill="1" applyBorder="1" applyAlignment="1">
      <alignment vertical="center"/>
    </xf>
    <xf numFmtId="176" fontId="6" fillId="4" borderId="0" xfId="0" applyNumberFormat="1" applyFont="1" applyFill="1" applyBorder="1" applyAlignment="1">
      <alignment vertical="center"/>
    </xf>
    <xf numFmtId="49" fontId="7" fillId="4" borderId="4" xfId="0" applyNumberFormat="1" applyFont="1" applyFill="1" applyBorder="1" applyAlignment="1">
      <alignment horizontal="left" vertical="center" wrapText="1"/>
    </xf>
    <xf numFmtId="49" fontId="8" fillId="4" borderId="4" xfId="0" applyNumberFormat="1" applyFont="1" applyFill="1" applyBorder="1" applyAlignment="1">
      <alignment horizontal="center"/>
    </xf>
    <xf numFmtId="0" fontId="9" fillId="0" borderId="1" xfId="0" applyFont="1" applyBorder="1" applyAlignment="1"/>
    <xf numFmtId="0" fontId="9" fillId="4" borderId="5" xfId="0" applyFont="1" applyFill="1" applyBorder="1" applyAlignment="1"/>
    <xf numFmtId="0" fontId="0" fillId="4" borderId="6" xfId="0" applyFont="1" applyFill="1" applyBorder="1" applyAlignment="1"/>
    <xf numFmtId="176" fontId="0" fillId="4" borderId="6" xfId="0" applyNumberFormat="1" applyFont="1" applyFill="1" applyBorder="1" applyAlignment="1"/>
    <xf numFmtId="49" fontId="10" fillId="4" borderId="7" xfId="0" applyNumberFormat="1" applyFont="1" applyFill="1" applyBorder="1" applyAlignment="1">
      <alignment horizontal="center" vertical="center" wrapText="1"/>
    </xf>
    <xf numFmtId="176" fontId="10" fillId="4" borderId="7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0" fontId="11" fillId="5" borderId="7" xfId="0" applyNumberFormat="1" applyFont="1" applyFill="1" applyBorder="1" applyAlignment="1">
      <alignment horizontal="center" vertical="center"/>
    </xf>
    <xf numFmtId="176" fontId="11" fillId="5" borderId="7" xfId="0" applyNumberFormat="1" applyFont="1" applyFill="1" applyBorder="1" applyAlignment="1">
      <alignment horizontal="center" vertical="center"/>
    </xf>
    <xf numFmtId="0" fontId="11" fillId="4" borderId="7" xfId="0" applyNumberFormat="1" applyFont="1" applyFill="1" applyBorder="1" applyAlignment="1">
      <alignment horizontal="center" vertical="center"/>
    </xf>
    <xf numFmtId="177" fontId="11" fillId="4" borderId="7" xfId="0" applyNumberFormat="1" applyFont="1" applyFill="1" applyBorder="1" applyAlignment="1">
      <alignment horizontal="center" vertical="center" wrapText="1"/>
    </xf>
    <xf numFmtId="176" fontId="11" fillId="4" borderId="7" xfId="0" applyNumberFormat="1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/>
    </xf>
    <xf numFmtId="176" fontId="10" fillId="6" borderId="7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76" fontId="13" fillId="4" borderId="9" xfId="0" applyNumberFormat="1" applyFont="1" applyFill="1" applyBorder="1" applyAlignment="1">
      <alignment horizontal="center" vertical="center" wrapText="1"/>
    </xf>
    <xf numFmtId="49" fontId="14" fillId="4" borderId="10" xfId="0" applyNumberFormat="1" applyFont="1" applyFill="1" applyBorder="1" applyAlignment="1">
      <alignment horizontal="center" vertical="center" wrapText="1"/>
    </xf>
    <xf numFmtId="0" fontId="1" fillId="4" borderId="11" xfId="0" applyFont="1" applyFill="1" applyBorder="1" applyAlignment="1"/>
    <xf numFmtId="176" fontId="1" fillId="4" borderId="11" xfId="0" applyNumberFormat="1" applyFont="1" applyFill="1" applyBorder="1" applyAlignment="1"/>
    <xf numFmtId="49" fontId="11" fillId="4" borderId="4" xfId="0" applyNumberFormat="1" applyFont="1" applyFill="1" applyBorder="1" applyAlignment="1">
      <alignment horizontal="center"/>
    </xf>
    <xf numFmtId="0" fontId="1" fillId="4" borderId="0" xfId="0" applyFont="1" applyFill="1" applyBorder="1" applyAlignment="1"/>
    <xf numFmtId="176" fontId="1" fillId="4" borderId="0" xfId="0" applyNumberFormat="1" applyFont="1" applyFill="1" applyBorder="1" applyAlignment="1"/>
    <xf numFmtId="178" fontId="15" fillId="3" borderId="1" xfId="0" applyNumberFormat="1" applyFont="1" applyFill="1" applyBorder="1" applyAlignment="1">
      <alignment horizontal="center" vertical="center"/>
    </xf>
    <xf numFmtId="179" fontId="10" fillId="4" borderId="12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/>
    <xf numFmtId="176" fontId="1" fillId="4" borderId="13" xfId="0" applyNumberFormat="1" applyFont="1" applyFill="1" applyBorder="1" applyAlignment="1"/>
    <xf numFmtId="49" fontId="10" fillId="4" borderId="10" xfId="0" applyNumberFormat="1" applyFont="1" applyFill="1" applyBorder="1" applyAlignment="1">
      <alignment horizontal="center" vertical="center"/>
    </xf>
    <xf numFmtId="49" fontId="11" fillId="4" borderId="4" xfId="0" applyNumberFormat="1" applyFont="1" applyFill="1" applyBorder="1" applyAlignment="1">
      <alignment horizontal="center" vertical="center"/>
    </xf>
    <xf numFmtId="49" fontId="11" fillId="4" borderId="4" xfId="0" applyNumberFormat="1" applyFont="1" applyFill="1" applyBorder="1" applyAlignment="1">
      <alignment horizontal="center" vertical="center" wrapText="1"/>
    </xf>
    <xf numFmtId="49" fontId="11" fillId="4" borderId="0" xfId="0" applyNumberFormat="1" applyFont="1" applyFill="1" applyBorder="1" applyAlignment="1">
      <alignment horizontal="center" vertical="center"/>
    </xf>
    <xf numFmtId="176" fontId="11" fillId="4" borderId="0" xfId="0" applyNumberFormat="1" applyFont="1" applyFill="1" applyBorder="1" applyAlignment="1">
      <alignment horizontal="center" vertical="center"/>
    </xf>
    <xf numFmtId="49" fontId="11" fillId="4" borderId="4" xfId="0" applyNumberFormat="1" applyFont="1" applyFill="1" applyBorder="1" applyAlignment="1">
      <alignment horizontal="center" wrapText="1"/>
    </xf>
    <xf numFmtId="49" fontId="11" fillId="4" borderId="5" xfId="0" applyNumberFormat="1" applyFont="1" applyFill="1" applyBorder="1" applyAlignment="1">
      <alignment horizontal="center" wrapText="1"/>
    </xf>
    <xf numFmtId="0" fontId="1" fillId="4" borderId="6" xfId="0" applyFont="1" applyFill="1" applyBorder="1" applyAlignment="1"/>
    <xf numFmtId="176" fontId="1" fillId="4" borderId="6" xfId="0" applyNumberFormat="1" applyFont="1" applyFill="1" applyBorder="1" applyAlignment="1"/>
    <xf numFmtId="0" fontId="0" fillId="2" borderId="0" xfId="0" applyNumberFormat="1" applyFont="1" applyFill="1" applyAlignment="1"/>
    <xf numFmtId="176" fontId="0" fillId="2" borderId="0" xfId="0" applyNumberFormat="1" applyFont="1" applyFill="1" applyAlignment="1"/>
    <xf numFmtId="0" fontId="2" fillId="2" borderId="14" xfId="0" applyFont="1" applyFill="1" applyBorder="1" applyAlignment="1">
      <alignment horizontal="center" vertical="center"/>
    </xf>
    <xf numFmtId="0" fontId="0" fillId="4" borderId="1" xfId="0" applyFont="1" applyFill="1" applyBorder="1" applyAlignment="1"/>
    <xf numFmtId="49" fontId="16" fillId="4" borderId="0" xfId="0" applyNumberFormat="1" applyFont="1" applyFill="1" applyBorder="1" applyAlignment="1">
      <alignment horizontal="right" vertical="center" wrapText="1"/>
    </xf>
    <xf numFmtId="0" fontId="17" fillId="4" borderId="0" xfId="0" applyFont="1" applyFill="1" applyBorder="1" applyAlignment="1"/>
    <xf numFmtId="0" fontId="17" fillId="4" borderId="1" xfId="0" applyFont="1" applyFill="1" applyBorder="1" applyAlignment="1"/>
    <xf numFmtId="0" fontId="7" fillId="4" borderId="0" xfId="0" applyFont="1" applyFill="1" applyBorder="1" applyAlignment="1">
      <alignment horizontal="left" vertical="center"/>
    </xf>
    <xf numFmtId="0" fontId="18" fillId="4" borderId="0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0" fillId="4" borderId="15" xfId="0" applyFont="1" applyFill="1" applyBorder="1" applyAlignment="1"/>
    <xf numFmtId="177" fontId="11" fillId="4" borderId="7" xfId="0" applyNumberFormat="1" applyFont="1" applyFill="1" applyBorder="1" applyAlignment="1">
      <alignment vertical="center" wrapText="1"/>
    </xf>
    <xf numFmtId="180" fontId="10" fillId="6" borderId="7" xfId="0" applyNumberFormat="1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/>
    <xf numFmtId="0" fontId="1" fillId="4" borderId="1" xfId="0" applyFont="1" applyFill="1" applyBorder="1" applyAlignment="1"/>
    <xf numFmtId="0" fontId="1" fillId="4" borderId="18" xfId="0" applyFont="1" applyFill="1" applyBorder="1" applyAlignment="1"/>
    <xf numFmtId="49" fontId="11" fillId="4" borderId="1" xfId="0" applyNumberFormat="1" applyFont="1" applyFill="1" applyBorder="1" applyAlignment="1">
      <alignment horizontal="center" vertical="center"/>
    </xf>
    <xf numFmtId="0" fontId="1" fillId="4" borderId="15" xfId="0" applyFont="1" applyFill="1" applyBorder="1" applyAlignment="1"/>
    <xf numFmtId="0" fontId="0" fillId="0" borderId="0" xfId="0" applyNumberFormat="1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100"/>
      <rgbColor rgb="00FFFFFF"/>
      <rgbColor rgb="00ED7D31"/>
      <rgbColor rgb="00F2F2F2"/>
      <rgbColor rgb="00F3F3F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  <color rgb="001A44E2"/>
      <color rgb="001B46E9"/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55880</xdr:colOff>
      <xdr:row>2</xdr:row>
      <xdr:rowOff>90170</xdr:rowOff>
    </xdr:from>
    <xdr:to>
      <xdr:col>2</xdr:col>
      <xdr:colOff>1596390</xdr:colOff>
      <xdr:row>3</xdr:row>
      <xdr:rowOff>217170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3545" y="1023620"/>
          <a:ext cx="2205355" cy="952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604020202090204"/>
            <a:ea typeface="Arial" panose="020B0604020202090204"/>
            <a:cs typeface="Arial" panose="020B0604020202090204"/>
            <a:sym typeface="Arial" panose="020B060402020209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showGridLines="0" tabSelected="1" zoomScale="82" zoomScaleNormal="82" topLeftCell="A4" workbookViewId="0">
      <selection activeCell="L15" sqref="L15"/>
    </sheetView>
  </sheetViews>
  <sheetFormatPr defaultColWidth="12.6696428571429" defaultRowHeight="15.75" customHeight="1"/>
  <cols>
    <col min="1" max="1" width="5.16964285714286" style="2" customWidth="1"/>
    <col min="2" max="2" width="9.34821428571429" style="2" customWidth="1"/>
    <col min="3" max="3" width="60.0625" style="2" customWidth="1"/>
    <col min="4" max="4" width="12.3482142857143" style="3" customWidth="1"/>
    <col min="5" max="6" width="15.8482142857143" style="2" customWidth="1"/>
    <col min="7" max="7" width="23.3482142857143" style="2" customWidth="1"/>
    <col min="8" max="8" width="27.1696428571429" style="2" customWidth="1"/>
    <col min="9" max="16384" width="12.6696428571429" style="2" customWidth="1"/>
  </cols>
  <sheetData>
    <row r="1" ht="48.75" customHeight="1" spans="1:8">
      <c r="A1" s="4"/>
      <c r="B1" s="5"/>
      <c r="C1" s="6"/>
      <c r="D1" s="7"/>
      <c r="E1" s="6"/>
      <c r="F1" s="6"/>
      <c r="G1" s="6"/>
      <c r="H1" s="60"/>
    </row>
    <row r="2" ht="24.75" customHeight="1" spans="1:8">
      <c r="A2" s="8"/>
      <c r="B2" s="9"/>
      <c r="C2" s="10"/>
      <c r="D2" s="11"/>
      <c r="E2" s="10"/>
      <c r="F2" s="10"/>
      <c r="G2" s="10"/>
      <c r="H2" s="61"/>
    </row>
    <row r="3" ht="65" customHeight="1" spans="1:8">
      <c r="A3" s="12"/>
      <c r="B3" s="13"/>
      <c r="C3" s="10"/>
      <c r="D3" s="11"/>
      <c r="E3" s="62" t="s">
        <v>0</v>
      </c>
      <c r="F3" s="63"/>
      <c r="G3" s="63"/>
      <c r="H3" s="64"/>
    </row>
    <row r="4" ht="93" customHeight="1" spans="1:8">
      <c r="A4" s="12"/>
      <c r="B4" s="14" t="s">
        <v>1</v>
      </c>
      <c r="C4" s="10"/>
      <c r="D4" s="11"/>
      <c r="E4" s="17"/>
      <c r="F4" s="10"/>
      <c r="G4" s="10"/>
      <c r="H4" s="61"/>
    </row>
    <row r="5" ht="25.5" customHeight="1" spans="1:8">
      <c r="A5" s="15"/>
      <c r="B5" s="16"/>
      <c r="C5" s="17"/>
      <c r="D5" s="18"/>
      <c r="E5" s="10"/>
      <c r="F5" s="10"/>
      <c r="G5" s="10"/>
      <c r="H5" s="61"/>
    </row>
    <row r="6" ht="23.25" customHeight="1" spans="1:11">
      <c r="A6" s="12"/>
      <c r="B6" s="19" t="s">
        <v>2</v>
      </c>
      <c r="C6" s="10"/>
      <c r="D6" s="11"/>
      <c r="E6" s="65"/>
      <c r="F6" s="10"/>
      <c r="G6" s="10"/>
      <c r="H6" s="61"/>
      <c r="K6" s="77"/>
    </row>
    <row r="7" ht="84" customHeight="1" spans="1:8">
      <c r="A7" s="12"/>
      <c r="B7" s="19" t="s">
        <v>3</v>
      </c>
      <c r="C7" s="10"/>
      <c r="D7" s="11"/>
      <c r="E7" s="66"/>
      <c r="F7" s="66"/>
      <c r="G7" s="66"/>
      <c r="H7" s="67"/>
    </row>
    <row r="8" ht="24.75" customHeight="1" spans="1:8">
      <c r="A8" s="12"/>
      <c r="B8" s="20" t="s">
        <v>4</v>
      </c>
      <c r="C8" s="10"/>
      <c r="D8" s="11"/>
      <c r="E8" s="10"/>
      <c r="F8" s="10"/>
      <c r="G8" s="10"/>
      <c r="H8" s="61"/>
    </row>
    <row r="9" ht="27" customHeight="1" spans="1:8">
      <c r="A9" s="21"/>
      <c r="B9" s="22"/>
      <c r="C9" s="23"/>
      <c r="D9" s="24"/>
      <c r="E9" s="23"/>
      <c r="F9" s="23"/>
      <c r="G9" s="23"/>
      <c r="H9" s="68"/>
    </row>
    <row r="10" ht="27.75" customHeight="1" spans="1:8">
      <c r="A10" s="12"/>
      <c r="B10" s="25" t="s">
        <v>5</v>
      </c>
      <c r="C10" s="25" t="s">
        <v>6</v>
      </c>
      <c r="D10" s="26" t="s">
        <v>7</v>
      </c>
      <c r="E10" s="25" t="s">
        <v>8</v>
      </c>
      <c r="F10" s="25" t="s">
        <v>9</v>
      </c>
      <c r="G10" s="25" t="s">
        <v>10</v>
      </c>
      <c r="H10" s="25" t="s">
        <v>11</v>
      </c>
    </row>
    <row r="11" s="1" customFormat="1" ht="15" customHeight="1" spans="1:8">
      <c r="A11" s="27"/>
      <c r="B11" s="28"/>
      <c r="C11" s="28"/>
      <c r="D11" s="29"/>
      <c r="E11" s="28"/>
      <c r="F11" s="28"/>
      <c r="G11" s="28"/>
      <c r="H11" s="28"/>
    </row>
    <row r="12" s="1" customFormat="1" ht="68" customHeight="1" spans="1:8">
      <c r="A12" s="27"/>
      <c r="B12" s="30">
        <v>1</v>
      </c>
      <c r="C12" s="31" t="s">
        <v>12</v>
      </c>
      <c r="D12" s="32">
        <v>1</v>
      </c>
      <c r="E12" s="31"/>
      <c r="F12" s="69"/>
      <c r="G12" s="31">
        <v>333.1</v>
      </c>
      <c r="H12" s="31">
        <f>G12</f>
        <v>333.1</v>
      </c>
    </row>
    <row r="13" s="1" customFormat="1" ht="32" customHeight="1" spans="1:8">
      <c r="A13" s="27"/>
      <c r="B13" s="30">
        <v>2</v>
      </c>
      <c r="C13" s="31" t="s">
        <v>13</v>
      </c>
      <c r="D13" s="32">
        <v>277</v>
      </c>
      <c r="E13" s="31">
        <v>0.5</v>
      </c>
      <c r="F13" s="69"/>
      <c r="G13" s="31"/>
      <c r="H13" s="31">
        <f>D13*E13</f>
        <v>138.5</v>
      </c>
    </row>
    <row r="14" s="1" customFormat="1" ht="32" customHeight="1" spans="1:8">
      <c r="A14" s="27"/>
      <c r="B14" s="30">
        <v>3</v>
      </c>
      <c r="C14" s="31" t="s">
        <v>14</v>
      </c>
      <c r="D14" s="32">
        <v>275</v>
      </c>
      <c r="E14" s="31"/>
      <c r="F14" s="69">
        <v>0.8</v>
      </c>
      <c r="G14" s="31"/>
      <c r="H14" s="31">
        <f>D14*F14</f>
        <v>220</v>
      </c>
    </row>
    <row r="15" s="1" customFormat="1" ht="17" spans="1:8">
      <c r="A15" s="27"/>
      <c r="B15" s="30">
        <v>4</v>
      </c>
      <c r="C15" s="31" t="s">
        <v>15</v>
      </c>
      <c r="D15" s="32">
        <v>1</v>
      </c>
      <c r="E15" s="31">
        <v>0.7</v>
      </c>
      <c r="F15" s="69">
        <v>8.07</v>
      </c>
      <c r="G15" s="31">
        <f>E15+F15</f>
        <v>8.77</v>
      </c>
      <c r="H15" s="31">
        <f>D15*G15</f>
        <v>8.77</v>
      </c>
    </row>
    <row r="16" ht="32.25" customHeight="1" spans="1:8">
      <c r="A16" s="12"/>
      <c r="B16" s="33"/>
      <c r="C16" s="33"/>
      <c r="D16" s="34"/>
      <c r="E16" s="33"/>
      <c r="F16" s="70"/>
      <c r="G16" s="70"/>
      <c r="H16" s="70">
        <f>SUM(H12:H15)</f>
        <v>700.37</v>
      </c>
    </row>
    <row r="17" ht="25.5" customHeight="1" spans="1:8">
      <c r="A17" s="35"/>
      <c r="B17" s="36"/>
      <c r="C17" s="37"/>
      <c r="D17" s="38"/>
      <c r="E17" s="37"/>
      <c r="F17" s="37"/>
      <c r="G17" s="37"/>
      <c r="H17" s="71"/>
    </row>
    <row r="18" ht="25.5" customHeight="1" spans="1:8">
      <c r="A18" s="12"/>
      <c r="B18" s="39" t="s">
        <v>16</v>
      </c>
      <c r="C18" s="40"/>
      <c r="D18" s="41"/>
      <c r="E18" s="40"/>
      <c r="F18" s="40"/>
      <c r="G18" s="40"/>
      <c r="H18" s="72"/>
    </row>
    <row r="19" ht="21" customHeight="1" spans="1:8">
      <c r="A19" s="12"/>
      <c r="B19" s="42" t="s">
        <v>17</v>
      </c>
      <c r="C19" s="43"/>
      <c r="D19" s="44"/>
      <c r="E19" s="43"/>
      <c r="F19" s="43"/>
      <c r="G19" s="43"/>
      <c r="H19" s="73"/>
    </row>
    <row r="20" ht="21" customHeight="1" spans="1:8">
      <c r="A20" s="45"/>
      <c r="B20" s="46">
        <f t="array" ref="B20">H16</f>
        <v>700.37</v>
      </c>
      <c r="C20" s="47"/>
      <c r="D20" s="48"/>
      <c r="E20" s="47"/>
      <c r="F20" s="47"/>
      <c r="G20" s="47"/>
      <c r="H20" s="74"/>
    </row>
    <row r="21" ht="21" customHeight="1" spans="1:8">
      <c r="A21" s="12"/>
      <c r="B21" s="49" t="s">
        <v>18</v>
      </c>
      <c r="C21" s="40"/>
      <c r="D21" s="41"/>
      <c r="E21" s="40"/>
      <c r="F21" s="40"/>
      <c r="G21" s="40"/>
      <c r="H21" s="72"/>
    </row>
    <row r="22" ht="21" customHeight="1" spans="1:8">
      <c r="A22" s="12"/>
      <c r="B22" s="50" t="s">
        <v>19</v>
      </c>
      <c r="C22" s="43"/>
      <c r="D22" s="44"/>
      <c r="E22" s="43"/>
      <c r="F22" s="43"/>
      <c r="G22" s="43"/>
      <c r="H22" s="73"/>
    </row>
    <row r="23" ht="21" customHeight="1" spans="1:8">
      <c r="A23" s="12"/>
      <c r="B23" s="51" t="s">
        <v>20</v>
      </c>
      <c r="C23" s="43"/>
      <c r="D23" s="44"/>
      <c r="E23" s="43"/>
      <c r="F23" s="43"/>
      <c r="G23" s="43"/>
      <c r="H23" s="73"/>
    </row>
    <row r="24" ht="21" customHeight="1" spans="1:8">
      <c r="A24" s="12"/>
      <c r="B24" s="50" t="s">
        <v>21</v>
      </c>
      <c r="C24" s="43"/>
      <c r="D24" s="44"/>
      <c r="E24" s="43"/>
      <c r="F24" s="43"/>
      <c r="G24" s="43"/>
      <c r="H24" s="73"/>
    </row>
    <row r="25" ht="21" customHeight="1" spans="1:8">
      <c r="A25" s="12"/>
      <c r="B25" s="50" t="s">
        <v>22</v>
      </c>
      <c r="C25" s="43"/>
      <c r="D25" s="44"/>
      <c r="E25" s="43"/>
      <c r="F25" s="43"/>
      <c r="G25" s="43"/>
      <c r="H25" s="73"/>
    </row>
    <row r="26" ht="21" customHeight="1" spans="1:8">
      <c r="A26" s="12"/>
      <c r="B26" s="50" t="s">
        <v>23</v>
      </c>
      <c r="C26" s="52"/>
      <c r="D26" s="53"/>
      <c r="E26" s="52"/>
      <c r="F26" s="52"/>
      <c r="G26" s="52"/>
      <c r="H26" s="75"/>
    </row>
    <row r="27" ht="21" customHeight="1" spans="1:8">
      <c r="A27" s="12"/>
      <c r="B27" s="50" t="s">
        <v>24</v>
      </c>
      <c r="C27" s="52"/>
      <c r="D27" s="53"/>
      <c r="E27" s="52"/>
      <c r="F27" s="52"/>
      <c r="G27" s="52"/>
      <c r="H27" s="75"/>
    </row>
    <row r="28" ht="21" customHeight="1" spans="1:8">
      <c r="A28" s="12"/>
      <c r="B28" s="50" t="s">
        <v>25</v>
      </c>
      <c r="C28" s="52"/>
      <c r="D28" s="53"/>
      <c r="E28" s="52"/>
      <c r="F28" s="52"/>
      <c r="G28" s="52"/>
      <c r="H28" s="75"/>
    </row>
    <row r="29" ht="21" customHeight="1" spans="1:8">
      <c r="A29" s="12"/>
      <c r="B29" s="49" t="s">
        <v>26</v>
      </c>
      <c r="C29" s="40"/>
      <c r="D29" s="41"/>
      <c r="E29" s="40"/>
      <c r="F29" s="40"/>
      <c r="G29" s="40"/>
      <c r="H29" s="72"/>
    </row>
    <row r="30" ht="21" customHeight="1" spans="1:8">
      <c r="A30" s="12"/>
      <c r="B30" s="51" t="s">
        <v>27</v>
      </c>
      <c r="C30" s="43"/>
      <c r="D30" s="44"/>
      <c r="E30" s="43"/>
      <c r="F30" s="43"/>
      <c r="G30" s="43"/>
      <c r="H30" s="73"/>
    </row>
    <row r="31" ht="21" customHeight="1" spans="1:8">
      <c r="A31" s="12"/>
      <c r="B31" s="54" t="s">
        <v>28</v>
      </c>
      <c r="C31" s="43"/>
      <c r="D31" s="44"/>
      <c r="E31" s="43"/>
      <c r="F31" s="43"/>
      <c r="G31" s="43"/>
      <c r="H31" s="73"/>
    </row>
    <row r="32" ht="21" customHeight="1" spans="1:8">
      <c r="A32" s="12"/>
      <c r="B32" s="54" t="s">
        <v>29</v>
      </c>
      <c r="C32" s="43"/>
      <c r="D32" s="44"/>
      <c r="E32" s="43"/>
      <c r="F32" s="43"/>
      <c r="G32" s="43"/>
      <c r="H32" s="73"/>
    </row>
    <row r="33" ht="21" customHeight="1" spans="1:8">
      <c r="A33" s="12"/>
      <c r="B33" s="54" t="s">
        <v>28</v>
      </c>
      <c r="C33" s="43"/>
      <c r="D33" s="44"/>
      <c r="E33" s="43"/>
      <c r="F33" s="43"/>
      <c r="G33" s="43"/>
      <c r="H33" s="73"/>
    </row>
    <row r="34" ht="21.75" customHeight="1" spans="1:8">
      <c r="A34" s="12"/>
      <c r="B34" s="55" t="s">
        <v>29</v>
      </c>
      <c r="C34" s="56"/>
      <c r="D34" s="57"/>
      <c r="E34" s="56"/>
      <c r="F34" s="56"/>
      <c r="G34" s="56"/>
      <c r="H34" s="76"/>
    </row>
    <row r="35" customHeight="1" spans="2:8">
      <c r="B35" s="58"/>
      <c r="C35" s="58"/>
      <c r="D35" s="59"/>
      <c r="E35" s="58"/>
      <c r="F35" s="58"/>
      <c r="G35" s="58"/>
      <c r="H35" s="58"/>
    </row>
  </sheetData>
  <mergeCells count="28">
    <mergeCell ref="B2:H2"/>
    <mergeCell ref="B3:D3"/>
    <mergeCell ref="E3:H3"/>
    <mergeCell ref="B4:D4"/>
    <mergeCell ref="B6:D6"/>
    <mergeCell ref="E6:H6"/>
    <mergeCell ref="B7:D7"/>
    <mergeCell ref="B8:H8"/>
    <mergeCell ref="B9:H9"/>
    <mergeCell ref="B11:H11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E4:H5"/>
  </mergeCells>
  <pageMargins left="0.75" right="0.75" top="1" bottom="1" header="0" footer="0"/>
  <pageSetup paperSize="9" scale="50" orientation="portrait" useFirstPageNumber="1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c＇est dan.</cp:lastModifiedBy>
  <dcterms:created xsi:type="dcterms:W3CDTF">2025-07-31T18:13:00Z</dcterms:created>
  <dcterms:modified xsi:type="dcterms:W3CDTF">2025-12-01T11:35:48Z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EDDDEACB839F781441672D69329FA034_43</vt:lpwstr>
  </property>
</Properties>
</file>