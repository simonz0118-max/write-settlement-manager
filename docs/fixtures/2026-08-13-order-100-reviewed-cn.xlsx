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260" windowHeight="11780" tabRatio="600" firstSheet="0" activeTab="0" autoFilterDateGrouping="1"/>
  </bookViews>
  <sheets>
    <sheet xmlns:r="http://schemas.openxmlformats.org/officeDocument/2006/relationships" name="FACT" sheetId="1" state="visible" r:id="rId1"/>
    <sheet xmlns:r="http://schemas.openxmlformats.org/officeDocument/2006/relationships" name="01_结算总览" sheetId="2" state="visible" r:id="rId2"/>
    <sheet xmlns:r="http://schemas.openxmlformats.org/officeDocument/2006/relationships" name="02_订单明细" sheetId="3" state="visible" r:id="rId3"/>
    <sheet xmlns:r="http://schemas.openxmlformats.org/officeDocument/2006/relationships" name="03_商品汇总" sheetId="4" state="visible" r:id="rId4"/>
    <sheet xmlns:r="http://schemas.openxmlformats.org/officeDocument/2006/relationships" name="04_审计记录" sheetId="5" state="visible" r:id="rId5"/>
    <sheet xmlns:r="http://schemas.openxmlformats.org/officeDocument/2006/relationships" name="WRITE_LEARNING_SOURCE" sheetId="6" state="veryHidden" r:id="rId6"/>
  </sheets>
  <definedNames>
    <definedName name="_xlnm._FilterDatabase" localSheetId="2" hidden="1">'02_订单明细'!$A$1:$K$8</definedName>
    <definedName name="_xlnm._FilterDatabase" localSheetId="3" hidden="1">'03_商品汇总'!$A$1:$G$8</definedName>
    <definedName name="_xlnm._FilterDatabase" localSheetId="4" hidden="1">'04_审计记录'!$A$1:$K$8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 "/>
    <numFmt numFmtId="165" formatCode="#,##0.00&quot; &quot;"/>
    <numFmt numFmtId="166" formatCode="#,##0.00\ &quot;€&quot;;\-#,##0.00\ &quot;€&quot;"/>
    <numFmt numFmtId="167" formatCode="&quot;Montant : &quot;#,##0.00&quot; euros&quot;"/>
    <numFmt numFmtId="168" formatCode="#,##0.00[$€-2]"/>
  </numFmts>
  <fonts count="44">
    <font>
      <name val="Arial"/>
      <charset val="134"/>
      <color indexed="8"/>
      <sz val="10"/>
    </font>
    <font>
      <name val="Helvetica Neue"/>
      <charset val="134"/>
      <color rgb="FF000000"/>
      <sz val="10"/>
      <scheme val="minor"/>
    </font>
    <font>
      <name val="Helvetica Neue"/>
      <charset val="134"/>
      <b val="1"/>
      <color theme="1"/>
      <sz val="11"/>
      <scheme val="minor"/>
    </font>
    <font>
      <name val="Helvetica Neue"/>
      <charset val="134"/>
      <color theme="1"/>
      <sz val="10"/>
      <scheme val="minor"/>
    </font>
    <font>
      <name val="Arial"/>
      <charset val="134"/>
      <sz val="10"/>
    </font>
    <font>
      <name val="Calibri"/>
      <charset val="134"/>
      <b val="1"/>
      <color theme="0" tint="-0.05"/>
      <sz val="14"/>
    </font>
    <font>
      <name val="Calibri"/>
      <charset val="134"/>
      <b val="1"/>
      <color indexed="9"/>
      <sz val="14"/>
    </font>
    <font>
      <name val="Arial"/>
      <charset val="134"/>
      <b val="1"/>
      <color indexed="9"/>
      <sz val="11"/>
    </font>
    <font>
      <name val="Arial"/>
      <charset val="134"/>
      <b val="1"/>
      <color indexed="8"/>
      <sz val="14"/>
    </font>
    <font>
      <name val="Arial"/>
      <charset val="134"/>
      <color indexed="8"/>
      <sz val="14"/>
    </font>
    <font>
      <name val="Arial"/>
      <charset val="134"/>
      <b val="1"/>
      <color rgb="FF000000"/>
      <sz val="10"/>
    </font>
    <font>
      <name val="Arial"/>
      <charset val="134"/>
      <color indexed="8"/>
      <sz val="11"/>
    </font>
    <font>
      <name val="Arial"/>
      <charset val="134"/>
      <b val="1"/>
      <color indexed="8"/>
      <sz val="11"/>
    </font>
    <font>
      <name val="Arial"/>
      <charset val="134"/>
      <b val="1"/>
      <i val="1"/>
      <color indexed="8"/>
      <sz val="11"/>
    </font>
    <font>
      <name val="Arial"/>
      <charset val="134"/>
      <b val="1"/>
      <color indexed="8"/>
      <sz val="18"/>
    </font>
    <font>
      <name val="Calibri"/>
      <charset val="134"/>
      <color indexed="8"/>
      <sz val="11"/>
    </font>
    <font>
      <name val="Arial"/>
      <charset val="134"/>
      <b val="1"/>
      <sz val="11"/>
    </font>
    <font>
      <name val="Arial"/>
      <charset val="134"/>
      <sz val="11"/>
    </font>
    <font>
      <name val="Calibri"/>
      <charset val="134"/>
      <color indexed="8"/>
      <sz val="12"/>
    </font>
    <font>
      <name val="Calibri"/>
      <charset val="134"/>
      <sz val="12"/>
    </font>
    <font>
      <name val="Arial"/>
      <charset val="134"/>
      <b val="1"/>
      <sz val="12"/>
    </font>
    <font>
      <name val="Calibri"/>
      <charset val="134"/>
      <b val="1"/>
      <color indexed="8"/>
      <sz val="11"/>
    </font>
    <font>
      <name val="Helvetica Neue"/>
      <charset val="134"/>
      <color theme="1"/>
      <sz val="11"/>
      <scheme val="minor"/>
    </font>
    <font>
      <name val="Helvetica Neue"/>
      <charset val="0"/>
      <color rgb="FF0000FF"/>
      <sz val="11"/>
      <u val="single"/>
      <scheme val="minor"/>
    </font>
    <font>
      <name val="Helvetica Neue"/>
      <charset val="0"/>
      <color rgb="FF800080"/>
      <sz val="11"/>
      <u val="single"/>
      <scheme val="minor"/>
    </font>
    <font>
      <name val="Helvetica Neue"/>
      <charset val="0"/>
      <color rgb="FFFF0000"/>
      <sz val="11"/>
      <scheme val="minor"/>
    </font>
    <font>
      <name val="Helvetica Neue"/>
      <charset val="134"/>
      <b val="1"/>
      <color theme="3"/>
      <sz val="18"/>
      <scheme val="minor"/>
    </font>
    <font>
      <name val="Helvetica Neue"/>
      <charset val="0"/>
      <i val="1"/>
      <color rgb="FF7F7F7F"/>
      <sz val="11"/>
      <scheme val="minor"/>
    </font>
    <font>
      <name val="Helvetica Neue"/>
      <charset val="134"/>
      <b val="1"/>
      <color theme="3"/>
      <sz val="15"/>
      <scheme val="minor"/>
    </font>
    <font>
      <name val="Helvetica Neue"/>
      <charset val="134"/>
      <b val="1"/>
      <color theme="3"/>
      <sz val="13"/>
      <scheme val="minor"/>
    </font>
    <font>
      <name val="Helvetica Neue"/>
      <charset val="134"/>
      <b val="1"/>
      <color theme="3"/>
      <sz val="11"/>
      <scheme val="minor"/>
    </font>
    <font>
      <name val="Helvetica Neue"/>
      <charset val="0"/>
      <color rgb="FF3F3F76"/>
      <sz val="11"/>
      <scheme val="minor"/>
    </font>
    <font>
      <name val="Helvetica Neue"/>
      <charset val="0"/>
      <b val="1"/>
      <color rgb="FF3F3F3F"/>
      <sz val="11"/>
      <scheme val="minor"/>
    </font>
    <font>
      <name val="Helvetica Neue"/>
      <charset val="0"/>
      <b val="1"/>
      <color rgb="FFFA7D00"/>
      <sz val="11"/>
      <scheme val="minor"/>
    </font>
    <font>
      <name val="Helvetica Neue"/>
      <charset val="0"/>
      <b val="1"/>
      <color rgb="FFFFFFFF"/>
      <sz val="11"/>
      <scheme val="minor"/>
    </font>
    <font>
      <name val="Helvetica Neue"/>
      <charset val="0"/>
      <color rgb="FFFA7D00"/>
      <sz val="11"/>
      <scheme val="minor"/>
    </font>
    <font>
      <name val="Helvetica Neue"/>
      <charset val="0"/>
      <b val="1"/>
      <color theme="1"/>
      <sz val="11"/>
      <scheme val="minor"/>
    </font>
    <font>
      <name val="Helvetica Neue"/>
      <charset val="0"/>
      <color rgb="FF006100"/>
      <sz val="11"/>
      <scheme val="minor"/>
    </font>
    <font>
      <name val="Helvetica Neue"/>
      <charset val="0"/>
      <color rgb="FF9C0006"/>
      <sz val="11"/>
      <scheme val="minor"/>
    </font>
    <font>
      <name val="Helvetica Neue"/>
      <charset val="0"/>
      <color rgb="FF9C6500"/>
      <sz val="11"/>
      <scheme val="minor"/>
    </font>
    <font>
      <name val="Helvetica Neue"/>
      <charset val="0"/>
      <color theme="0"/>
      <sz val="11"/>
      <scheme val="minor"/>
    </font>
    <font>
      <name val="Helvetica Neue"/>
      <charset val="0"/>
      <color theme="1"/>
      <sz val="11"/>
      <scheme val="minor"/>
    </font>
    <font>
      <name val="Arial"/>
      <charset val="134"/>
      <color rgb="FF000000"/>
      <sz val="10"/>
    </font>
    <font>
      <name val="Arial"/>
      <family val="2"/>
      <color rgb="FFFF0000"/>
      <sz val="10"/>
    </font>
  </fonts>
  <fills count="39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-0.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50">
    <xf numFmtId="0" fontId="0" fillId="0" borderId="0"/>
    <xf numFmtId="43" fontId="22" fillId="0" borderId="0" applyAlignment="1">
      <alignment vertical="center"/>
    </xf>
    <xf numFmtId="44" fontId="22" fillId="0" borderId="0" applyAlignment="1">
      <alignment vertical="center"/>
    </xf>
    <xf numFmtId="9" fontId="22" fillId="0" borderId="0" applyAlignment="1">
      <alignment vertical="center"/>
    </xf>
    <xf numFmtId="41" fontId="22" fillId="0" borderId="0" applyAlignment="1">
      <alignment vertical="center"/>
    </xf>
    <xf numFmtId="42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2" fillId="8" borderId="23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24" applyAlignment="1">
      <alignment vertical="center"/>
    </xf>
    <xf numFmtId="0" fontId="29" fillId="0" borderId="24" applyAlignment="1">
      <alignment vertical="center"/>
    </xf>
    <xf numFmtId="0" fontId="30" fillId="0" borderId="25" applyAlignment="1">
      <alignment vertical="center"/>
    </xf>
    <xf numFmtId="0" fontId="30" fillId="0" borderId="0" applyAlignment="1">
      <alignment vertical="center"/>
    </xf>
    <xf numFmtId="0" fontId="31" fillId="9" borderId="26" applyAlignment="1">
      <alignment vertical="center"/>
    </xf>
    <xf numFmtId="0" fontId="32" fillId="10" borderId="27" applyAlignment="1">
      <alignment vertical="center"/>
    </xf>
    <xf numFmtId="0" fontId="33" fillId="10" borderId="26" applyAlignment="1">
      <alignment vertical="center"/>
    </xf>
    <xf numFmtId="0" fontId="34" fillId="11" borderId="28" applyAlignment="1">
      <alignment vertical="center"/>
    </xf>
    <xf numFmtId="0" fontId="35" fillId="0" borderId="29" applyAlignment="1">
      <alignment vertical="center"/>
    </xf>
    <xf numFmtId="0" fontId="36" fillId="0" borderId="30" applyAlignment="1">
      <alignment vertical="center"/>
    </xf>
    <xf numFmtId="0" fontId="37" fillId="12" borderId="0" applyAlignment="1">
      <alignment vertical="center"/>
    </xf>
    <xf numFmtId="0" fontId="38" fillId="13" borderId="0" applyAlignment="1">
      <alignment vertical="center"/>
    </xf>
    <xf numFmtId="0" fontId="39" fillId="14" borderId="0" applyAlignment="1">
      <alignment vertical="center"/>
    </xf>
    <xf numFmtId="0" fontId="40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0" fillId="18" borderId="0" applyAlignment="1">
      <alignment vertical="center"/>
    </xf>
    <xf numFmtId="0" fontId="40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0" fillId="22" borderId="0" applyAlignment="1">
      <alignment vertical="center"/>
    </xf>
    <xf numFmtId="0" fontId="40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0" fillId="26" borderId="0" applyAlignment="1">
      <alignment vertical="center"/>
    </xf>
    <xf numFmtId="0" fontId="40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0" fillId="30" borderId="0" applyAlignment="1">
      <alignment vertical="center"/>
    </xf>
    <xf numFmtId="0" fontId="40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0" fillId="34" borderId="0" applyAlignment="1">
      <alignment vertical="center"/>
    </xf>
    <xf numFmtId="0" fontId="40" fillId="35" borderId="0" applyAlignment="1">
      <alignment vertical="center"/>
    </xf>
    <xf numFmtId="0" fontId="41" fillId="36" borderId="0" applyAlignment="1">
      <alignment vertical="center"/>
    </xf>
    <xf numFmtId="0" fontId="41" fillId="37" borderId="0" applyAlignment="1">
      <alignment vertical="center"/>
    </xf>
    <xf numFmtId="0" fontId="40" fillId="38" borderId="0" applyAlignment="1">
      <alignment vertical="center"/>
    </xf>
    <xf numFmtId="0" fontId="3" fillId="0" borderId="0"/>
  </cellStyleXfs>
  <cellXfs count="1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2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  <xf numFmtId="164" fontId="5" fillId="3" borderId="3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0" fillId="5" borderId="0" pivotButton="0" quotePrefix="0" xfId="0"/>
    <xf numFmtId="164" fontId="0" fillId="5" borderId="0" pivotButton="0" quotePrefix="0" xfId="0"/>
    <xf numFmtId="0" fontId="0" fillId="5" borderId="1" pivotButton="0" quotePrefix="0" xfId="0"/>
    <xf numFmtId="0" fontId="0" fillId="0" borderId="1" pivotButton="0" quotePrefix="0" xfId="0"/>
    <xf numFmtId="0" fontId="7" fillId="5" borderId="5" applyAlignment="1" pivotButton="0" quotePrefix="0" xfId="0">
      <alignment vertical="center" wrapText="1"/>
    </xf>
    <xf numFmtId="49" fontId="8" fillId="5" borderId="0" applyAlignment="1" pivotButton="0" quotePrefix="0" xfId="0">
      <alignment horizontal="right" vertical="center" wrapText="1"/>
    </xf>
    <xf numFmtId="0" fontId="9" fillId="5" borderId="0" pivotButton="0" quotePrefix="0" xfId="0"/>
    <xf numFmtId="0" fontId="9" fillId="5" borderId="1" pivotButton="0" quotePrefix="0" xfId="0"/>
    <xf numFmtId="49" fontId="10" fillId="5" borderId="5" applyAlignment="1" pivotButton="0" quotePrefix="0" xfId="0">
      <alignment vertical="center" wrapText="1"/>
    </xf>
    <xf numFmtId="0" fontId="11" fillId="5" borderId="0" applyAlignment="1" pivotButton="0" quotePrefix="0" xfId="0">
      <alignment vertical="center"/>
    </xf>
    <xf numFmtId="0" fontId="11" fillId="4" borderId="1" applyAlignment="1" pivotButton="0" quotePrefix="0" xfId="0">
      <alignment vertical="center"/>
    </xf>
    <xf numFmtId="0" fontId="11" fillId="5" borderId="5" applyAlignment="1" pivotButton="0" quotePrefix="0" xfId="0">
      <alignment vertical="center"/>
    </xf>
    <xf numFmtId="164" fontId="11" fillId="5" borderId="0" applyAlignment="1" pivotButton="0" quotePrefix="0" xfId="0">
      <alignment vertical="center"/>
    </xf>
    <xf numFmtId="49" fontId="12" fillId="5" borderId="5" applyAlignment="1" pivotButton="0" quotePrefix="0" xfId="0">
      <alignment horizontal="left" vertical="center" wrapText="1"/>
    </xf>
    <xf numFmtId="0" fontId="12" fillId="5" borderId="0" applyAlignment="1" pivotButton="0" quotePrefix="0" xfId="0">
      <alignment horizontal="left" vertical="center"/>
    </xf>
    <xf numFmtId="0" fontId="0" fillId="0" borderId="0" pivotButton="0" quotePrefix="0" xfId="0"/>
    <xf numFmtId="0" fontId="13" fillId="5" borderId="0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49" fontId="14" fillId="5" borderId="5" applyAlignment="1" pivotButton="0" quotePrefix="0" xfId="0">
      <alignment horizontal="center"/>
    </xf>
    <xf numFmtId="0" fontId="15" fillId="0" borderId="1" pivotButton="0" quotePrefix="0" xfId="0"/>
    <xf numFmtId="0" fontId="15" fillId="5" borderId="6" pivotButton="0" quotePrefix="0" xfId="0"/>
    <xf numFmtId="0" fontId="0" fillId="5" borderId="7" pivotButton="0" quotePrefix="0" xfId="0"/>
    <xf numFmtId="164" fontId="0" fillId="5" borderId="7" pivotButton="0" quotePrefix="0" xfId="0"/>
    <xf numFmtId="0" fontId="0" fillId="5" borderId="8" pivotButton="0" quotePrefix="0" xfId="0"/>
    <xf numFmtId="49" fontId="16" fillId="5" borderId="9" applyAlignment="1" pivotButton="0" quotePrefix="0" xfId="0">
      <alignment horizontal="center" vertical="center" wrapText="1"/>
    </xf>
    <xf numFmtId="164" fontId="16" fillId="5" borderId="9" applyAlignment="1" pivotButton="0" quotePrefix="0" xfId="0">
      <alignment horizontal="center" vertical="center" wrapText="1"/>
    </xf>
    <xf numFmtId="0" fontId="4" fillId="0" borderId="1" pivotButton="0" quotePrefix="0" xfId="0"/>
    <xf numFmtId="0" fontId="17" fillId="6" borderId="9" applyAlignment="1" pivotButton="0" quotePrefix="0" xfId="0">
      <alignment horizontal="center" vertical="center"/>
    </xf>
    <xf numFmtId="164" fontId="17" fillId="6" borderId="9" applyAlignment="1" pivotButton="0" quotePrefix="0" xfId="0">
      <alignment horizontal="center" vertical="center"/>
    </xf>
    <xf numFmtId="0" fontId="17" fillId="5" borderId="9" applyAlignment="1" pivotButton="0" quotePrefix="0" xfId="0">
      <alignment horizontal="center" vertical="center"/>
    </xf>
    <xf numFmtId="165" fontId="17" fillId="5" borderId="9" applyAlignment="1" pivotButton="0" quotePrefix="0" xfId="0">
      <alignment horizontal="center" vertical="center" wrapText="1"/>
    </xf>
    <xf numFmtId="164" fontId="17" fillId="5" borderId="9" applyAlignment="1" pivotButton="0" quotePrefix="0" xfId="0">
      <alignment horizontal="center" vertical="center" wrapText="1"/>
    </xf>
    <xf numFmtId="165" fontId="17" fillId="5" borderId="9" applyAlignment="1" pivotButton="0" quotePrefix="0" xfId="0">
      <alignment vertical="center" wrapText="1"/>
    </xf>
    <xf numFmtId="0" fontId="16" fillId="7" borderId="9" applyAlignment="1" pivotButton="0" quotePrefix="0" xfId="0">
      <alignment horizontal="center" vertical="center"/>
    </xf>
    <xf numFmtId="164" fontId="16" fillId="7" borderId="9" applyAlignment="1" pivotButton="0" quotePrefix="0" xfId="0">
      <alignment horizontal="center" vertical="center"/>
    </xf>
    <xf numFmtId="166" fontId="16" fillId="7" borderId="9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 wrapText="1"/>
    </xf>
    <xf numFmtId="0" fontId="19" fillId="5" borderId="10" applyAlignment="1" pivotButton="0" quotePrefix="0" xfId="0">
      <alignment horizontal="center" vertical="center" wrapText="1"/>
    </xf>
    <xf numFmtId="0" fontId="19" fillId="5" borderId="11" applyAlignment="1" pivotButton="0" quotePrefix="0" xfId="0">
      <alignment horizontal="center" vertical="center" wrapText="1"/>
    </xf>
    <xf numFmtId="164" fontId="19" fillId="5" borderId="11" applyAlignment="1" pivotButton="0" quotePrefix="0" xfId="0">
      <alignment horizontal="center" vertical="center" wrapText="1"/>
    </xf>
    <xf numFmtId="0" fontId="19" fillId="5" borderId="12" applyAlignment="1" pivotButton="0" quotePrefix="0" xfId="0">
      <alignment horizontal="center" vertical="center" wrapText="1"/>
    </xf>
    <xf numFmtId="49" fontId="20" fillId="5" borderId="13" applyAlignment="1" pivotButton="0" quotePrefix="0" xfId="0">
      <alignment horizontal="center" vertical="center" wrapText="1"/>
    </xf>
    <xf numFmtId="0" fontId="4" fillId="5" borderId="14" pivotButton="0" quotePrefix="0" xfId="0"/>
    <xf numFmtId="164" fontId="4" fillId="5" borderId="14" pivotButton="0" quotePrefix="0" xfId="0"/>
    <xf numFmtId="0" fontId="4" fillId="5" borderId="15" pivotButton="0" quotePrefix="0" xfId="0"/>
    <xf numFmtId="49" fontId="17" fillId="5" borderId="5" applyAlignment="1" pivotButton="0" quotePrefix="0" xfId="0">
      <alignment horizontal="center"/>
    </xf>
    <xf numFmtId="0" fontId="4" fillId="5" borderId="0" pivotButton="0" quotePrefix="0" xfId="0"/>
    <xf numFmtId="164" fontId="4" fillId="5" borderId="0" pivotButton="0" quotePrefix="0" xfId="0"/>
    <xf numFmtId="0" fontId="4" fillId="5" borderId="1" pivotButton="0" quotePrefix="0" xfId="0"/>
    <xf numFmtId="167" fontId="21" fillId="4" borderId="1" applyAlignment="1" pivotButton="0" quotePrefix="0" xfId="0">
      <alignment horizontal="center" vertical="center"/>
    </xf>
    <xf numFmtId="168" fontId="16" fillId="5" borderId="16" applyAlignment="1" pivotButton="0" quotePrefix="0" xfId="0">
      <alignment horizontal="center" vertical="center"/>
    </xf>
    <xf numFmtId="0" fontId="4" fillId="5" borderId="17" pivotButton="0" quotePrefix="0" xfId="0"/>
    <xf numFmtId="164" fontId="4" fillId="5" borderId="17" pivotButton="0" quotePrefix="0" xfId="0"/>
    <xf numFmtId="0" fontId="4" fillId="5" borderId="18" pivotButton="0" quotePrefix="0" xfId="0"/>
    <xf numFmtId="49" fontId="16" fillId="5" borderId="13" applyAlignment="1" pivotButton="0" quotePrefix="0" xfId="0">
      <alignment horizontal="center" vertical="center"/>
    </xf>
    <xf numFmtId="49" fontId="17" fillId="5" borderId="5" applyAlignment="1" pivotButton="0" quotePrefix="0" xfId="0">
      <alignment horizontal="center" vertical="center"/>
    </xf>
    <xf numFmtId="49" fontId="17" fillId="5" borderId="5" applyAlignment="1" pivotButton="0" quotePrefix="0" xfId="0">
      <alignment horizontal="center" vertical="center" wrapText="1"/>
    </xf>
    <xf numFmtId="49" fontId="17" fillId="5" borderId="0" applyAlignment="1" pivotButton="0" quotePrefix="0" xfId="0">
      <alignment horizontal="center" vertical="center"/>
    </xf>
    <xf numFmtId="164" fontId="17" fillId="5" borderId="0" applyAlignment="1" pivotButton="0" quotePrefix="0" xfId="0">
      <alignment horizontal="center" vertical="center"/>
    </xf>
    <xf numFmtId="49" fontId="17" fillId="5" borderId="1" applyAlignment="1" pivotButton="0" quotePrefix="0" xfId="0">
      <alignment horizontal="center" vertical="center"/>
    </xf>
    <xf numFmtId="49" fontId="16" fillId="6" borderId="19" applyAlignment="1" pivotButton="0" quotePrefix="0" xfId="0">
      <alignment horizontal="center" vertical="center"/>
    </xf>
    <xf numFmtId="49" fontId="16" fillId="6" borderId="20" applyAlignment="1" pivotButton="0" quotePrefix="0" xfId="0">
      <alignment horizontal="center" vertical="center"/>
    </xf>
    <xf numFmtId="49" fontId="16" fillId="5" borderId="5" applyAlignment="1" pivotButton="0" quotePrefix="0" xfId="0">
      <alignment horizontal="center" vertical="center"/>
    </xf>
    <xf numFmtId="49" fontId="17" fillId="5" borderId="5" applyAlignment="1" pivotButton="0" quotePrefix="0" xfId="0">
      <alignment horizontal="center" wrapText="1"/>
    </xf>
    <xf numFmtId="49" fontId="17" fillId="5" borderId="21" applyAlignment="1" pivotButton="0" quotePrefix="0" xfId="0">
      <alignment horizontal="center" wrapText="1"/>
    </xf>
    <xf numFmtId="0" fontId="4" fillId="5" borderId="0" pivotButton="0" quotePrefix="0" xfId="0"/>
    <xf numFmtId="164" fontId="4" fillId="5" borderId="0" pivotButton="0" quotePrefix="0" xfId="0"/>
    <xf numFmtId="0" fontId="4" fillId="5" borderId="22" pivotButton="0" quotePrefix="0" xfId="0"/>
    <xf numFmtId="0" fontId="0" fillId="3" borderId="0" pivotButton="0" quotePrefix="0" xfId="0"/>
    <xf numFmtId="164" fontId="0" fillId="3" borderId="0" pivotButton="0" quotePrefix="0" xfId="0"/>
    <xf numFmtId="0" fontId="3" fillId="0" borderId="0" applyAlignment="1" pivotButton="0" quotePrefix="1" xfId="0">
      <alignment horizontal="center"/>
    </xf>
    <xf numFmtId="0" fontId="3" fillId="0" borderId="0" pivotButton="0" quotePrefix="1" xfId="0"/>
    <xf numFmtId="165" fontId="43" fillId="5" borderId="9" applyAlignment="1" pivotButton="0" quotePrefix="0" xfId="0">
      <alignment horizontal="center" vertical="center" wrapText="1"/>
    </xf>
    <xf numFmtId="165" fontId="43" fillId="5" borderId="9" applyAlignment="1" pivotButton="0" quotePrefix="0" xfId="0">
      <alignment vertical="center" wrapText="1"/>
    </xf>
    <xf numFmtId="164" fontId="0" fillId="0" borderId="0" pivotButton="0" quotePrefix="0" xfId="0"/>
    <xf numFmtId="164" fontId="5" fillId="3" borderId="3" applyAlignment="1" pivotButton="0" quotePrefix="0" xfId="0">
      <alignment horizontal="center" vertical="center"/>
    </xf>
    <xf numFmtId="0" fontId="6" fillId="5" borderId="31" applyAlignment="1" pivotButton="0" quotePrefix="0" xfId="0">
      <alignment horizontal="center" vertical="center"/>
    </xf>
    <xf numFmtId="49" fontId="17" fillId="5" borderId="31" applyAlignment="1" pivotButton="0" quotePrefix="0" xfId="0">
      <alignment horizontal="center"/>
    </xf>
    <xf numFmtId="0" fontId="11" fillId="5" borderId="1" applyAlignment="1" pivotButton="0" quotePrefix="0" xfId="0">
      <alignment vertical="center"/>
    </xf>
    <xf numFmtId="164" fontId="11" fillId="5" borderId="0" applyAlignment="1" pivotButton="0" quotePrefix="0" xfId="0">
      <alignment vertical="center"/>
    </xf>
    <xf numFmtId="0" fontId="12" fillId="5" borderId="1" applyAlignment="1" pivotButton="0" quotePrefix="0" xfId="0">
      <alignment horizontal="left" vertical="center"/>
    </xf>
    <xf numFmtId="49" fontId="14" fillId="5" borderId="31" applyAlignment="1" pivotButton="0" quotePrefix="0" xfId="0">
      <alignment horizontal="center"/>
    </xf>
    <xf numFmtId="0" fontId="15" fillId="5" borderId="32" pivotButton="0" quotePrefix="0" xfId="0"/>
    <xf numFmtId="0" fontId="0" fillId="0" borderId="7" pivotButton="0" quotePrefix="0" xfId="0"/>
    <xf numFmtId="0" fontId="0" fillId="0" borderId="8" pivotButton="0" quotePrefix="0" xfId="0"/>
    <xf numFmtId="164" fontId="16" fillId="5" borderId="9" applyAlignment="1" pivotButton="0" quotePrefix="0" xfId="0">
      <alignment horizontal="center" vertical="center" wrapText="1"/>
    </xf>
    <xf numFmtId="0" fontId="0" fillId="0" borderId="39" pivotButton="0" quotePrefix="0" xfId="0"/>
    <xf numFmtId="0" fontId="0" fillId="0" borderId="40" pivotButton="0" quotePrefix="0" xfId="0"/>
    <xf numFmtId="165" fontId="17" fillId="5" borderId="9" applyAlignment="1" pivotButton="0" quotePrefix="0" xfId="0">
      <alignment horizontal="center" vertical="center" wrapText="1"/>
    </xf>
    <xf numFmtId="164" fontId="17" fillId="5" borderId="9" applyAlignment="1" pivotButton="0" quotePrefix="0" xfId="0">
      <alignment horizontal="center" vertical="center" wrapText="1"/>
    </xf>
    <xf numFmtId="165" fontId="17" fillId="5" borderId="9" applyAlignment="1" pivotButton="0" quotePrefix="0" xfId="0">
      <alignment vertical="center" wrapText="1"/>
    </xf>
    <xf numFmtId="164" fontId="16" fillId="7" borderId="9" applyAlignment="1" pivotButton="0" quotePrefix="0" xfId="0">
      <alignment horizontal="center" vertical="center"/>
    </xf>
    <xf numFmtId="166" fontId="16" fillId="7" borderId="9" applyAlignment="1" pivotButton="0" quotePrefix="0" xfId="0">
      <alignment horizontal="center" vertical="center"/>
    </xf>
    <xf numFmtId="49" fontId="20" fillId="5" borderId="33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167" fontId="21" fillId="4" borderId="1" applyAlignment="1" pivotButton="0" quotePrefix="0" xfId="0">
      <alignment horizontal="center" vertical="center"/>
    </xf>
    <xf numFmtId="168" fontId="16" fillId="5" borderId="34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49" fontId="16" fillId="5" borderId="33" applyAlignment="1" pivotButton="0" quotePrefix="0" xfId="0">
      <alignment horizontal="center" vertical="center"/>
    </xf>
    <xf numFmtId="49" fontId="17" fillId="5" borderId="31" applyAlignment="1" pivotButton="0" quotePrefix="0" xfId="0">
      <alignment horizontal="center" vertical="center"/>
    </xf>
    <xf numFmtId="49" fontId="17" fillId="5" borderId="31" applyAlignment="1" pivotButton="0" quotePrefix="0" xfId="0">
      <alignment horizontal="center" vertical="center" wrapText="1"/>
    </xf>
    <xf numFmtId="0" fontId="0" fillId="0" borderId="37" pivotButton="0" quotePrefix="0" xfId="0"/>
    <xf numFmtId="0" fontId="0" fillId="0" borderId="38" pivotButton="0" quotePrefix="0" xfId="0"/>
    <xf numFmtId="49" fontId="16" fillId="5" borderId="31" applyAlignment="1" pivotButton="0" quotePrefix="0" xfId="0">
      <alignment horizontal="center" vertical="center"/>
    </xf>
    <xf numFmtId="49" fontId="17" fillId="5" borderId="31" applyAlignment="1" pivotButton="0" quotePrefix="0" xfId="0">
      <alignment horizontal="center" wrapText="1"/>
    </xf>
    <xf numFmtId="164" fontId="4" fillId="5" borderId="0" pivotButton="0" quotePrefix="0" xfId="0"/>
    <xf numFmtId="164" fontId="0" fillId="3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6100"/>
      <rgbColor rgb="00FFFFFF"/>
      <rgbColor rgb="00ED7D31"/>
      <rgbColor rgb="00F2F2F2"/>
      <rgbColor rgb="00F3F3F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55880</colOff>
      <row>2</row>
      <rowOff>90170</rowOff>
    </from>
    <to>
      <col>2</col>
      <colOff>1596390</colOff>
      <row>3</row>
      <rowOff>217170</rowOff>
    </to>
    <pic>
      <nvPicPr>
        <cNvPr id="3" name="图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23545" y="1023620"/>
          <a:ext cx="2205355" cy="9525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 panose="020B0704020202020204"/>
            <a:ea typeface="Arial" panose="020B0704020202020204"/>
            <a:cs typeface="Arial" panose="020B0704020202020204"/>
            <a:sym typeface="Arial" panose="020B070402020202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 panose="020B0704020202020204"/>
            <a:ea typeface="Arial" panose="020B0704020202020204"/>
            <a:cs typeface="Arial" panose="020B0704020202020204"/>
            <a:sym typeface="Arial" panose="020B070402020202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tabSelected="1" zoomScale="82" zoomScaleNormal="82" workbookViewId="0">
      <selection activeCell="K14" sqref="K14"/>
    </sheetView>
  </sheetViews>
  <sheetFormatPr baseColWidth="8" defaultColWidth="12.6696428571429" defaultRowHeight="15.75" customHeight="1"/>
  <cols>
    <col width="5.16964285714286" customWidth="1" style="32" min="1" max="1"/>
    <col width="9.34821428571429" customWidth="1" style="32" min="2" max="2"/>
    <col width="60.0625" customWidth="1" style="32" min="3" max="3"/>
    <col width="12.3482142857143" customWidth="1" style="91" min="4" max="4"/>
    <col width="15.8482142857143" customWidth="1" style="32" min="5" max="6"/>
    <col width="23.3482142857143" customWidth="1" style="32" min="7" max="7"/>
    <col width="27.1696428571429" customWidth="1" style="32" min="8" max="8"/>
    <col width="12.6696428571429" customWidth="1" style="32" min="9" max="16384"/>
  </cols>
  <sheetData>
    <row r="1" ht="48.75" customHeight="1" s="32">
      <c r="A1" s="10" t="n"/>
      <c r="B1" s="11" t="n"/>
      <c r="C1" s="12" t="n"/>
      <c r="D1" s="92" t="n"/>
      <c r="E1" s="12" t="n"/>
      <c r="F1" s="12" t="n"/>
      <c r="G1" s="12" t="n"/>
      <c r="H1" s="14" t="n"/>
    </row>
    <row r="2" ht="24.75" customHeight="1" s="32">
      <c r="A2" s="15" t="n"/>
      <c r="B2" s="93" t="n"/>
      <c r="H2" s="20" t="n"/>
    </row>
    <row r="3" ht="65" customHeight="1" s="32">
      <c r="A3" s="20" t="n"/>
      <c r="B3" s="21" t="n"/>
      <c r="E3" s="94" t="inlineStr">
        <is>
          <t>FACT - AUTO
13/08/26</t>
        </is>
      </c>
      <c r="H3" s="20" t="n"/>
    </row>
    <row r="4" ht="93" customHeight="1" s="32">
      <c r="A4" s="20" t="n"/>
      <c r="B4" s="25" t="inlineStr">
        <is>
          <t>Consignee: JINRIYANGTIAN DIANZISHANGWU SHENZHEN YOUXIANGONGSI 
Company number: 91440300MA5HW4MP14
Adress:   Parc Technologique Zhengchangda,
23 rue Jian’an, Quartier Fuhai, Bao’an, Shenzhen, Guangdong, Chine</t>
        </is>
      </c>
      <c r="E4" s="95" t="n"/>
      <c r="H4" s="20" t="n"/>
    </row>
    <row r="5" ht="25.5" customHeight="1" s="32">
      <c r="A5" s="27" t="n"/>
      <c r="B5" s="28" t="n"/>
      <c r="C5" s="26" t="n"/>
      <c r="D5" s="96" t="n"/>
      <c r="H5" s="20" t="n"/>
    </row>
    <row r="6" ht="23.25" customHeight="1" s="32">
      <c r="A6" s="20" t="n"/>
      <c r="B6" s="30" t="inlineStr">
        <is>
          <t>INVOICED TO:</t>
        </is>
      </c>
      <c r="E6" s="97" t="n"/>
      <c r="H6" s="20" t="n"/>
    </row>
    <row r="7" ht="84" customHeight="1" s="32">
      <c r="A7" s="20" t="n"/>
      <c r="B7" s="30" t="inlineStr">
        <is>
          <t xml:space="preserve">Contractant : Stanislav et théo
Company name : SAS WRITE
Siret : 930 541 164 R.C.S. Paris
Address : 58 rue de Monceau, CS 48756
75380 Paris, France
</t>
        </is>
      </c>
      <c r="E7" s="33" t="n"/>
      <c r="F7" s="33" t="n"/>
      <c r="G7" s="33" t="n"/>
      <c r="H7" s="34" t="n"/>
    </row>
    <row r="8" ht="24.75" customHeight="1" s="32">
      <c r="A8" s="20" t="n"/>
      <c r="B8" s="98" t="inlineStr">
        <is>
          <t>COMMERCIAL INVOICE</t>
        </is>
      </c>
      <c r="H8" s="20" t="n"/>
    </row>
    <row r="9" ht="27" customHeight="1" s="32">
      <c r="A9" s="36" t="n"/>
      <c r="B9" s="99" t="n"/>
      <c r="C9" s="100" t="n"/>
      <c r="D9" s="100" t="n"/>
      <c r="E9" s="100" t="n"/>
      <c r="F9" s="100" t="n"/>
      <c r="G9" s="100" t="n"/>
      <c r="H9" s="101" t="n"/>
    </row>
    <row r="10" ht="27.75" customHeight="1" s="32">
      <c r="A10" s="20" t="n"/>
      <c r="B10" s="41" t="inlineStr">
        <is>
          <t>No</t>
        </is>
      </c>
      <c r="C10" s="41" t="inlineStr">
        <is>
          <t>Description</t>
        </is>
      </c>
      <c r="D10" s="102" t="inlineStr">
        <is>
          <t>Quantity</t>
        </is>
      </c>
      <c r="E10" s="41" t="inlineStr">
        <is>
          <t>COGs (EUR)</t>
        </is>
      </c>
      <c r="F10" s="41" t="inlineStr">
        <is>
          <t>Shipping (EUR)</t>
        </is>
      </c>
      <c r="G10" s="41" t="inlineStr">
        <is>
          <t>COGs + Shipping (EUR)</t>
        </is>
      </c>
      <c r="H10" s="41" t="inlineStr">
        <is>
          <t>Amount (EUR)</t>
        </is>
      </c>
    </row>
    <row r="11" ht="15" customFormat="1" customHeight="1" s="7">
      <c r="A11" s="43" t="n"/>
      <c r="B11" s="44" t="inlineStr">
        <is>
          <t>FRANCE</t>
        </is>
      </c>
      <c r="C11" s="103" t="n"/>
      <c r="D11" s="103" t="n"/>
      <c r="E11" s="103" t="n"/>
      <c r="F11" s="103" t="n"/>
      <c r="G11" s="103" t="n"/>
      <c r="H11" s="104" t="n"/>
    </row>
    <row r="12" ht="27.75" customFormat="1" customHeight="1" s="7">
      <c r="A12" s="43" t="n"/>
      <c r="B12" s="46" t="n">
        <v>1</v>
      </c>
      <c r="C12" s="105" t="inlineStr">
        <is>
          <t>Coffret Cadeau *2</t>
        </is>
      </c>
      <c r="D12" s="106" t="n">
        <v>1</v>
      </c>
      <c r="E12" s="105" t="n">
        <v>1.6</v>
      </c>
      <c r="F12" s="107" t="n">
        <v>2.1</v>
      </c>
      <c r="G12" s="105" t="n">
        <v>3.7</v>
      </c>
      <c r="H12" s="105" t="n">
        <v>3.7</v>
      </c>
    </row>
    <row r="13" ht="27.75" customFormat="1" customHeight="1" s="7">
      <c r="A13" s="43" t="n"/>
      <c r="B13" s="46" t="n">
        <v>2</v>
      </c>
      <c r="C13" s="105" t="inlineStr">
        <is>
          <t>Stylo eternel *1</t>
        </is>
      </c>
      <c r="D13" s="106" t="n">
        <v>2</v>
      </c>
      <c r="E13" s="105" t="n">
        <v>3.2</v>
      </c>
      <c r="F13" s="107" t="n">
        <v>2.1</v>
      </c>
      <c r="G13" s="105" t="n">
        <v>5.3</v>
      </c>
      <c r="H13" s="105" t="n">
        <v>10.6</v>
      </c>
    </row>
    <row r="14" ht="27.75" customFormat="1" customHeight="1" s="7">
      <c r="A14" s="43" t="n"/>
      <c r="B14" s="46" t="n">
        <v>3</v>
      </c>
      <c r="C14" s="105" t="inlineStr">
        <is>
          <t>Stylo eternel *1 + Lot de 4 mines rechargeables *2 / Lot de 4</t>
        </is>
      </c>
      <c r="D14" s="106" t="n">
        <v>1</v>
      </c>
      <c r="E14" s="105" t="n">
        <v>4.1</v>
      </c>
      <c r="F14" s="107" t="n">
        <v>2.1</v>
      </c>
      <c r="G14" s="105" t="n">
        <v>6.2</v>
      </c>
      <c r="H14" s="105" t="n">
        <v>6.2</v>
      </c>
    </row>
    <row r="15" ht="27.75" customFormat="1" customHeight="1" s="7">
      <c r="A15" s="43" t="n"/>
      <c r="B15" s="46" t="n">
        <v>4</v>
      </c>
      <c r="C15" s="105" t="inlineStr">
        <is>
          <t>Stylo eternel *2</t>
        </is>
      </c>
      <c r="D15" s="106" t="n">
        <v>1</v>
      </c>
      <c r="E15" s="105" t="n">
        <v>6.4</v>
      </c>
      <c r="F15" s="107" t="n">
        <v>2.55</v>
      </c>
      <c r="G15" s="105" t="n">
        <v>8.949999999999999</v>
      </c>
      <c r="H15" s="105" t="n">
        <v>8.949999999999999</v>
      </c>
    </row>
    <row r="16" ht="27.75" customFormat="1" customHeight="1" s="7">
      <c r="A16" s="43" t="n"/>
      <c r="B16" s="46" t="n">
        <v>5</v>
      </c>
      <c r="C16" s="105" t="inlineStr">
        <is>
          <t>Stylo eternel *2 + Coffret Cadeau *1 + Lot de 4 mines rechargeables / Lot de 4</t>
        </is>
      </c>
      <c r="D16" s="106" t="n">
        <v>1</v>
      </c>
      <c r="E16" s="105" t="n">
        <v>7.65</v>
      </c>
      <c r="F16" s="107" t="n">
        <v>2.55</v>
      </c>
      <c r="G16" s="105" t="n">
        <v>10.2</v>
      </c>
      <c r="H16" s="105" t="n">
        <v>10.2</v>
      </c>
    </row>
    <row r="17" ht="27.75" customFormat="1" customHeight="1" s="7">
      <c r="A17" s="43" t="n"/>
      <c r="B17" s="46" t="n">
        <v>6</v>
      </c>
      <c r="C17" s="105" t="inlineStr">
        <is>
          <t>Stylo eternel *3 + Coffret Cadeau *1</t>
        </is>
      </c>
      <c r="D17" s="106" t="n">
        <v>1</v>
      </c>
      <c r="E17" s="105" t="n">
        <v>10.4</v>
      </c>
      <c r="F17" s="107" t="n">
        <v>2.95</v>
      </c>
      <c r="G17" s="105" t="n">
        <v>13.35</v>
      </c>
      <c r="H17" s="105" t="n">
        <v>13.35</v>
      </c>
    </row>
    <row r="18" ht="32.25" customHeight="1" s="32">
      <c r="A18" s="20" t="n"/>
      <c r="B18" s="50" t="inlineStr">
        <is>
          <t>Total colis</t>
        </is>
      </c>
      <c r="C18" s="50" t="inlineStr"/>
      <c r="D18" s="108" t="n">
        <v>7</v>
      </c>
      <c r="E18" s="50" t="n"/>
      <c r="F18" s="109" t="n"/>
      <c r="G18" s="109" t="n"/>
      <c r="H18" s="109" t="n"/>
    </row>
    <row r="19" ht="15" customHeight="1" s="32">
      <c r="A19" s="20" t="n"/>
    </row>
    <row r="20" ht="25.5" customHeight="1" s="32">
      <c r="A20" s="20" t="n"/>
      <c r="B20" s="110" t="inlineStr">
        <is>
          <t>ATTENTION : Notre compte bancaire est un Compte Business</t>
        </is>
      </c>
      <c r="C20" s="111" t="n"/>
      <c r="D20" s="111" t="n"/>
      <c r="E20" s="111" t="n"/>
      <c r="F20" s="111" t="n"/>
      <c r="G20" s="111" t="n"/>
      <c r="H20" s="112" t="n"/>
    </row>
    <row r="21" ht="21" customHeight="1" s="32">
      <c r="A21" s="20" t="n"/>
      <c r="B21" s="94" t="inlineStr">
        <is>
          <t>Pour le règlement, merci de faire un virement en EUR</t>
        </is>
      </c>
      <c r="H21" s="20" t="n"/>
    </row>
    <row r="22" ht="21" customHeight="1" s="32">
      <c r="A22" s="113" t="n"/>
      <c r="B22" s="114">
        <f t="array" ref="B22">H18</f>
        <v/>
      </c>
      <c r="C22" s="115" t="n"/>
      <c r="D22" s="115" t="n"/>
      <c r="E22" s="115" t="n"/>
      <c r="F22" s="115" t="n"/>
      <c r="G22" s="115" t="n"/>
      <c r="H22" s="116" t="n"/>
    </row>
    <row r="23" ht="21" customHeight="1" s="32">
      <c r="A23" s="20" t="n"/>
      <c r="B23" s="117" t="inlineStr">
        <is>
          <t>Voici les Coordonnées de notre compte bancaire :</t>
        </is>
      </c>
      <c r="C23" s="111" t="n"/>
      <c r="D23" s="111" t="n"/>
      <c r="E23" s="111" t="n"/>
      <c r="F23" s="111" t="n"/>
      <c r="G23" s="111" t="n"/>
      <c r="H23" s="112" t="n"/>
    </row>
    <row r="24" ht="21" customHeight="1" s="32">
      <c r="A24" s="20" t="n"/>
      <c r="B24" s="118" t="inlineStr">
        <is>
          <t>IBAN: LU534080000098001475</t>
        </is>
      </c>
      <c r="H24" s="20" t="n"/>
    </row>
    <row r="25" ht="21" customHeight="1" s="32">
      <c r="A25" s="20" t="n"/>
      <c r="B25" s="119" t="inlineStr">
        <is>
          <t xml:space="preserve">SWIFT : BCIRLULL
</t>
        </is>
      </c>
      <c r="H25" s="20" t="n"/>
    </row>
    <row r="26" ht="21" customHeight="1" s="32">
      <c r="A26" s="20" t="n"/>
      <c r="B26" s="118" t="inlineStr">
        <is>
          <t>Account Name: JINRIYANGTIAN DIANZISHANGWU SHENZHEN YOUXIANGONGSI</t>
        </is>
      </c>
      <c r="H26" s="20" t="n"/>
    </row>
    <row r="27" ht="21" customHeight="1" s="32">
      <c r="A27" s="20" t="n"/>
      <c r="B27" s="118" t="inlineStr">
        <is>
          <t>Bank Name: Banking Circle S.A.</t>
        </is>
      </c>
      <c r="H27" s="20" t="n"/>
    </row>
    <row r="28" ht="21" customHeight="1" s="32">
      <c r="A28" s="20" t="n"/>
      <c r="B28" s="118" t="inlineStr">
        <is>
          <t>Bank Address: 2, Boulevard de la Foire L-1528</t>
        </is>
      </c>
      <c r="H28" s="20" t="n"/>
    </row>
    <row r="29" ht="21" customHeight="1" s="32">
      <c r="A29" s="20" t="n"/>
      <c r="B29" s="118" t="inlineStr">
        <is>
          <t>Country : LUXEMBOURG</t>
        </is>
      </c>
      <c r="H29" s="20" t="n"/>
    </row>
    <row r="30" ht="21" customHeight="1" s="32">
      <c r="A30" s="20" t="n"/>
      <c r="B30" s="118" t="inlineStr">
        <is>
          <t>Type of Account: Business account</t>
        </is>
      </c>
      <c r="H30" s="20" t="n"/>
    </row>
    <row r="31" ht="21" customHeight="1" s="32">
      <c r="A31" s="20" t="n"/>
      <c r="B31" s="77" t="inlineStr">
        <is>
          <t>Conditions de paiement : Paiement sous 8 jours à compter de la date de facture.</t>
        </is>
      </c>
      <c r="C31" s="120" t="n"/>
      <c r="D31" s="120" t="n"/>
      <c r="E31" s="120" t="n"/>
      <c r="F31" s="120" t="n"/>
      <c r="G31" s="120" t="n"/>
      <c r="H31" s="121" t="n"/>
    </row>
    <row r="32" ht="21" customHeight="1" s="32">
      <c r="A32" s="20" t="n"/>
      <c r="B32" s="122" t="inlineStr">
        <is>
          <t xml:space="preserve">REMARQUE : </t>
        </is>
      </c>
      <c r="H32" s="20" t="n"/>
    </row>
    <row r="33" ht="21" customHeight="1" s="32">
      <c r="A33" s="20" t="n"/>
      <c r="B33" s="119" t="inlineStr">
        <is>
          <t>Merci de renseigner le numéro de la facture dans le versement pour que nous puissions identifier votre réglement.</t>
        </is>
      </c>
      <c r="H33" s="20" t="n"/>
    </row>
    <row r="34" ht="21" customHeight="1" s="32">
      <c r="A34" s="20" t="n"/>
      <c r="B34" s="123" t="inlineStr">
        <is>
          <t>Après paiement, merci de nous envoyer la capture d’écran.</t>
        </is>
      </c>
      <c r="H34" s="20" t="n"/>
    </row>
    <row r="35" ht="21" customHeight="1" s="32">
      <c r="A35" s="20" t="n"/>
      <c r="B35" s="123" t="inlineStr">
        <is>
          <t>En cas d’erreur ou d’omission, nous nous réservons le droit de réclamer tout montant restant dû.</t>
        </is>
      </c>
      <c r="H35" s="20" t="n"/>
    </row>
    <row r="36" ht="12" customHeight="1" s="32">
      <c r="B36" s="81" t="n"/>
      <c r="C36" s="82" t="n"/>
      <c r="D36" s="124" t="n"/>
      <c r="E36" s="82" t="n"/>
      <c r="F36" s="82" t="n"/>
      <c r="G36" s="82" t="n"/>
      <c r="H36" s="84" t="n"/>
    </row>
    <row r="37" s="32">
      <c r="B37" s="85" t="n"/>
      <c r="C37" s="85" t="n"/>
      <c r="D37" s="125" t="n"/>
      <c r="E37" s="85" t="n"/>
      <c r="F37" s="85" t="n"/>
      <c r="G37" s="85" t="n"/>
      <c r="H37" s="85" t="n"/>
    </row>
    <row r="38" s="32">
      <c r="D38" s="91" t="n"/>
    </row>
    <row r="39" s="32">
      <c r="D39" s="91" t="n"/>
    </row>
  </sheetData>
  <mergeCells count="27">
    <mergeCell ref="B9:H9"/>
    <mergeCell ref="E4:H5"/>
    <mergeCell ref="B24:H24"/>
    <mergeCell ref="B30:H30"/>
    <mergeCell ref="B33:H33"/>
    <mergeCell ref="B20:H20"/>
    <mergeCell ref="B32:H32"/>
    <mergeCell ref="B26:H26"/>
    <mergeCell ref="E3:H3"/>
    <mergeCell ref="B35:H35"/>
    <mergeCell ref="B25:H25"/>
    <mergeCell ref="B6:D6"/>
    <mergeCell ref="B31:H31"/>
    <mergeCell ref="B22:H22"/>
    <mergeCell ref="B27:H27"/>
    <mergeCell ref="B21:H21"/>
    <mergeCell ref="B4:D4"/>
    <mergeCell ref="B2:H2"/>
    <mergeCell ref="B11:H11"/>
    <mergeCell ref="B7:D7"/>
    <mergeCell ref="B23:H23"/>
    <mergeCell ref="B8:H8"/>
    <mergeCell ref="B3:D3"/>
    <mergeCell ref="E6:H6"/>
    <mergeCell ref="B29:H29"/>
    <mergeCell ref="B34:H34"/>
    <mergeCell ref="B28:H28"/>
  </mergeCells>
  <pageMargins left="0.75" right="0.75" top="1" bottom="1" header="0" footer="0"/>
  <pageSetup orientation="portrait" paperSize="9" scale="50" useFirstPageNumber="1"/>
  <headerFooter>
    <oddHeader/>
    <oddFooter>&amp;C&amp;"Helvetica Neue,Regular"&amp;12 &amp;K000000&amp;P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xSplit="1" ySplit="4" topLeftCell="B5" activePane="bottomRight" state="frozen"/>
      <selection activeCell="A1" sqref="A1"/>
    </sheetView>
  </sheetViews>
  <sheetFormatPr baseColWidth="8" defaultRowHeight="24"/>
  <cols>
    <col width="26" customWidth="1" style="32" min="1" max="1"/>
    <col width="20" customWidth="1" style="32" min="2" max="2"/>
    <col width="38" customWidth="1" style="32" min="3" max="3"/>
    <col width="20" customWidth="1" style="32" min="4" max="4"/>
  </cols>
  <sheetData>
    <row r="1" ht="38" customHeight="1" s="32">
      <c r="A1" t="inlineStr">
        <is>
          <t>WRITE Settlement Manager — 专业会计结算总览</t>
        </is>
      </c>
    </row>
    <row r="2" ht="30" customHeight="1" s="32">
      <c r="A2" t="inlineStr">
        <is>
          <t>生成时间：2026/8/13 22:05:14｜数据源：stage-a-cn-unknown-orders-seed-0x1041E2E-lo-resaved.xlsx</t>
        </is>
      </c>
    </row>
    <row r="3" ht="24" customHeight="1" s="32"/>
    <row r="4" ht="30" customHeight="1" s="32">
      <c r="A4" t="inlineStr">
        <is>
          <t>指标</t>
        </is>
      </c>
      <c r="B4" t="inlineStr">
        <is>
          <t>数值</t>
        </is>
      </c>
      <c r="C4" t="inlineStr">
        <is>
          <t>会计口径</t>
        </is>
      </c>
      <c r="D4" t="inlineStr">
        <is>
          <t>状态</t>
        </is>
      </c>
    </row>
    <row r="5" ht="24" customHeight="1" s="32">
      <c r="A5" t="inlineStr">
        <is>
          <t>销售订单总额</t>
        </is>
      </c>
      <c r="B5" t="n">
        <v>721</v>
      </c>
      <c r="C5" t="inlineStr">
        <is>
          <t>去重后订单金额合计</t>
        </is>
      </c>
      <c r="D5" t="inlineStr">
        <is>
          <t>已核算</t>
        </is>
      </c>
    </row>
    <row r="6" ht="24" customHeight="1" s="32">
      <c r="A6" t="inlineStr">
        <is>
          <t>FACT 成本总额</t>
        </is>
      </c>
      <c r="B6" t="n">
        <v>63.17</v>
      </c>
      <c r="C6" t="inlineStr">
        <is>
          <t>FACT / 自动生成 FACT 的 Amount 合计</t>
        </is>
      </c>
      <c r="D6" t="inlineStr">
        <is>
          <t>已解析</t>
        </is>
      </c>
    </row>
    <row r="7" ht="24" customHeight="1" s="32">
      <c r="A7" t="inlineStr">
        <is>
          <t>估算毛利</t>
        </is>
      </c>
      <c r="B7" t="n">
        <v>657.83</v>
      </c>
      <c r="C7" t="inlineStr">
        <is>
          <t>销售订单总额 - FACT 成本总额</t>
        </is>
      </c>
      <c r="D7" t="inlineStr">
        <is>
          <t>估算值</t>
        </is>
      </c>
    </row>
    <row r="8" ht="24" customHeight="1" s="32">
      <c r="A8" t="inlineStr">
        <is>
          <t>估算毛利率</t>
        </is>
      </c>
      <c r="B8" t="n">
        <v>0.9123855755894591</v>
      </c>
      <c r="C8" t="inlineStr">
        <is>
          <t>估算毛利 ÷ 销售订单总额</t>
        </is>
      </c>
      <c r="D8" t="inlineStr">
        <is>
          <t>估算值</t>
        </is>
      </c>
    </row>
    <row r="9" ht="24" customHeight="1" s="32">
      <c r="A9" t="inlineStr">
        <is>
          <t>结算记录数</t>
        </is>
      </c>
      <c r="B9" t="n">
        <v>7</v>
      </c>
      <c r="C9" t="inlineStr">
        <is>
          <t>每个源订单行均保留；订单号不作为删除依据</t>
        </is>
      </c>
      <c r="D9" t="inlineStr">
        <is>
          <t>已核算</t>
        </is>
      </c>
    </row>
    <row r="10" ht="24" customHeight="1" s="32">
      <c r="A10" t="inlineStr">
        <is>
          <t>商品件数</t>
        </is>
      </c>
      <c r="B10" t="n">
        <v>17</v>
      </c>
      <c r="C10" t="inlineStr">
        <is>
          <t>所有商品行数量合计</t>
        </is>
      </c>
      <c r="D10" t="inlineStr">
        <is>
          <t>已核算</t>
        </is>
      </c>
    </row>
    <row r="11" ht="24" customHeight="1" s="32">
      <c r="A11" t="inlineStr">
        <is>
          <t>确认包裹数</t>
        </is>
      </c>
      <c r="B11" t="n">
        <v>7</v>
      </c>
      <c r="C11" t="inlineStr">
        <is>
          <t>按订单级确认包裹统计；与商品/SKU分组独立</t>
        </is>
      </c>
      <c r="D11" t="inlineStr">
        <is>
          <t>已核算</t>
        </is>
      </c>
    </row>
    <row r="12" ht="24" customHeight="1" s="32">
      <c r="A12" t="inlineStr">
        <is>
          <t>赠品件数</t>
        </is>
      </c>
      <c r="B12" t="n">
        <v>0</v>
      </c>
      <c r="C12" t="inlineStr">
        <is>
          <t>🎁 / 100% off 自动识别</t>
        </is>
      </c>
      <c r="D12" t="inlineStr">
        <is>
          <t>已识别</t>
        </is>
      </c>
    </row>
    <row r="13" ht="24" customHeight="1" s="32">
      <c r="A13" t="inlineStr">
        <is>
          <t>待复核订单</t>
        </is>
      </c>
      <c r="B13" t="n">
        <v>0</v>
      </c>
      <c r="C13" t="inlineStr">
        <is>
          <t>正式交付前建议归零</t>
        </is>
      </c>
      <c r="D13" t="inlineStr">
        <is>
          <t>通过</t>
        </is>
      </c>
    </row>
  </sheetData>
  <mergeCells count="2">
    <mergeCell ref="A1:D1"/>
    <mergeCell ref="A2:D2"/>
  </mergeCells>
  <pageMargins left="0.3" right="0.3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24"/>
  <cols>
    <col width="22" customWidth="1" style="32" min="1" max="1"/>
    <col width="22" customWidth="1" style="32" min="2" max="2"/>
    <col width="28" customWidth="1" style="32" min="3" max="3"/>
    <col width="18" customWidth="1" style="32" min="4" max="4"/>
    <col width="17" customWidth="1" style="32" min="5" max="5"/>
    <col width="12" customWidth="1" style="32" min="6" max="6"/>
    <col width="22" customWidth="1" style="32" min="7" max="7"/>
    <col width="14" customWidth="1" style="32" min="8" max="8"/>
    <col width="13" customWidth="1" style="32" min="9" max="9"/>
    <col width="12" customWidth="1" style="32" min="10" max="10"/>
    <col width="28" customWidth="1" style="32" min="11" max="11"/>
  </cols>
  <sheetData>
    <row r="1" ht="30" customHeight="1" s="32">
      <c r="A1" t="inlineStr">
        <is>
          <t>订单号</t>
        </is>
      </c>
      <c r="B1" t="inlineStr">
        <is>
          <t>日期</t>
        </is>
      </c>
      <c r="C1" t="inlineStr">
        <is>
          <t>客户</t>
        </is>
      </c>
      <c r="D1" t="inlineStr">
        <is>
          <t>国家/地区</t>
        </is>
      </c>
      <c r="E1" t="inlineStr">
        <is>
          <t>订单金额</t>
        </is>
      </c>
      <c r="F1" t="inlineStr">
        <is>
          <t>币种</t>
        </is>
      </c>
      <c r="G1" t="inlineStr">
        <is>
          <t>会计分类</t>
        </is>
      </c>
      <c r="H1" t="inlineStr">
        <is>
          <t>状态</t>
        </is>
      </c>
      <c r="I1" t="inlineStr">
        <is>
          <t>商品件数</t>
        </is>
      </c>
      <c r="J1" t="inlineStr">
        <is>
          <t>含赠品</t>
        </is>
      </c>
      <c r="K1" t="inlineStr">
        <is>
          <t>运单号</t>
        </is>
      </c>
    </row>
    <row r="2" ht="24" customHeight="1" s="32">
      <c r="A2" t="inlineStr">
        <is>
          <t>E2E1041-001-DC6AA8</t>
        </is>
      </c>
      <c r="B2" t="inlineStr">
        <is>
          <t>2026-08-13 10:00</t>
        </is>
      </c>
      <c r="C2" t="inlineStr">
        <is>
          <t>E2E Client 1</t>
        </is>
      </c>
      <c r="D2" t="inlineStr">
        <is>
          <t>FRANCE</t>
        </is>
      </c>
      <c r="E2" t="n">
        <v>100</v>
      </c>
      <c r="F2" t="inlineStr">
        <is>
          <t>EUR</t>
        </is>
      </c>
      <c r="G2" t="inlineStr">
        <is>
          <t>一般商品</t>
        </is>
      </c>
      <c r="H2" t="inlineStr">
        <is>
          <t>已分类</t>
        </is>
      </c>
      <c r="I2" t="n">
        <v>1</v>
      </c>
      <c r="J2" t="inlineStr">
        <is>
          <t>否</t>
        </is>
      </c>
      <c r="K2" t="inlineStr">
        <is>
          <t>CN-E2E-918D88</t>
        </is>
      </c>
    </row>
    <row r="3" ht="24" customHeight="1" s="32">
      <c r="A3" t="inlineStr">
        <is>
          <t>E2E1041-002-8AE914</t>
        </is>
      </c>
      <c r="B3" t="inlineStr">
        <is>
          <t>2026-08-13 11:00</t>
        </is>
      </c>
      <c r="C3" t="inlineStr">
        <is>
          <t>E2E Client 2</t>
        </is>
      </c>
      <c r="D3" t="inlineStr">
        <is>
          <t>FRANCE</t>
        </is>
      </c>
      <c r="E3" t="n">
        <v>101</v>
      </c>
      <c r="F3" t="inlineStr">
        <is>
          <t>EUR</t>
        </is>
      </c>
      <c r="G3" t="inlineStr">
        <is>
          <t>一般商品</t>
        </is>
      </c>
      <c r="H3" t="inlineStr">
        <is>
          <t>已分类</t>
        </is>
      </c>
      <c r="I3" t="n">
        <v>2</v>
      </c>
      <c r="J3" t="inlineStr">
        <is>
          <t>否</t>
        </is>
      </c>
      <c r="K3" t="inlineStr">
        <is>
          <t>CN-E2E-897234</t>
        </is>
      </c>
    </row>
    <row r="4" ht="24" customHeight="1" s="32">
      <c r="A4" t="inlineStr">
        <is>
          <t>E2E1041-003-1E8534</t>
        </is>
      </c>
      <c r="B4" t="inlineStr">
        <is>
          <t>2026-08-13 12:00</t>
        </is>
      </c>
      <c r="C4" t="inlineStr">
        <is>
          <t>E2E Client 3</t>
        </is>
      </c>
      <c r="D4" t="inlineStr">
        <is>
          <t>FRANCE</t>
        </is>
      </c>
      <c r="E4" t="n">
        <v>102</v>
      </c>
      <c r="F4" t="inlineStr">
        <is>
          <t>EUR</t>
        </is>
      </c>
      <c r="G4" t="inlineStr">
        <is>
          <t>笔芯订单</t>
        </is>
      </c>
      <c r="H4" t="inlineStr">
        <is>
          <t>已分类</t>
        </is>
      </c>
      <c r="I4" t="n">
        <v>4</v>
      </c>
      <c r="J4" t="inlineStr">
        <is>
          <t>否</t>
        </is>
      </c>
      <c r="K4" t="inlineStr">
        <is>
          <t>CN-E2E-93882E</t>
        </is>
      </c>
    </row>
    <row r="5" ht="24" customHeight="1" s="32">
      <c r="A5" t="inlineStr">
        <is>
          <t>E2E1041-004-4ACC81</t>
        </is>
      </c>
      <c r="B5" t="inlineStr">
        <is>
          <t>2026-08-13 13:00</t>
        </is>
      </c>
      <c r="C5" t="inlineStr">
        <is>
          <t>E2E Client 4</t>
        </is>
      </c>
      <c r="D5" t="inlineStr">
        <is>
          <t>FRANCE</t>
        </is>
      </c>
      <c r="E5" t="n">
        <v>103</v>
      </c>
      <c r="F5" t="inlineStr">
        <is>
          <t>EUR</t>
        </is>
      </c>
      <c r="G5" t="inlineStr">
        <is>
          <t>礼盒 / 配件订单</t>
        </is>
      </c>
      <c r="H5" t="inlineStr">
        <is>
          <t>已分类</t>
        </is>
      </c>
      <c r="I5" t="n">
        <v>4</v>
      </c>
      <c r="J5" t="inlineStr">
        <is>
          <t>否</t>
        </is>
      </c>
      <c r="K5" t="inlineStr">
        <is>
          <t>CN-E2E-9EBA89</t>
        </is>
      </c>
    </row>
    <row r="6" ht="24" customHeight="1" s="32">
      <c r="A6" t="inlineStr">
        <is>
          <t>E2E1041-005-93F4FA</t>
        </is>
      </c>
      <c r="B6" t="inlineStr">
        <is>
          <t>2026-08-13 14:00</t>
        </is>
      </c>
      <c r="C6" t="inlineStr">
        <is>
          <t>E2E Client 5</t>
        </is>
      </c>
      <c r="D6" t="inlineStr">
        <is>
          <t>FRANCE</t>
        </is>
      </c>
      <c r="E6" t="n">
        <v>104</v>
      </c>
      <c r="F6" t="inlineStr">
        <is>
          <t>EUR</t>
        </is>
      </c>
      <c r="G6" t="inlineStr">
        <is>
          <t>笔芯订单</t>
        </is>
      </c>
      <c r="H6" t="inlineStr">
        <is>
          <t>已分类</t>
        </is>
      </c>
      <c r="I6" t="n">
        <v>3</v>
      </c>
      <c r="J6" t="inlineStr">
        <is>
          <t>否</t>
        </is>
      </c>
      <c r="K6" t="inlineStr">
        <is>
          <t>CN-E2E-28FC92</t>
        </is>
      </c>
    </row>
    <row r="7" ht="24" customHeight="1" s="32">
      <c r="A7" t="inlineStr">
        <is>
          <t>E2E1041-006-EE3519</t>
        </is>
      </c>
      <c r="B7" t="inlineStr">
        <is>
          <t>2026-08-13 15:00</t>
        </is>
      </c>
      <c r="C7" t="inlineStr">
        <is>
          <t>E2E Client 6</t>
        </is>
      </c>
      <c r="D7" t="inlineStr">
        <is>
          <t>FRANCE</t>
        </is>
      </c>
      <c r="E7" t="n">
        <v>105</v>
      </c>
      <c r="F7" t="inlineStr">
        <is>
          <t>EUR</t>
        </is>
      </c>
      <c r="G7" t="inlineStr">
        <is>
          <t>礼盒 / 配件订单</t>
        </is>
      </c>
      <c r="H7" t="inlineStr">
        <is>
          <t>已分类</t>
        </is>
      </c>
      <c r="I7" t="n">
        <v>2</v>
      </c>
      <c r="J7" t="inlineStr">
        <is>
          <t>否</t>
        </is>
      </c>
      <c r="K7" t="inlineStr">
        <is>
          <t>CN-E2E-933988</t>
        </is>
      </c>
    </row>
    <row r="8" ht="24" customHeight="1" s="32">
      <c r="A8" t="inlineStr">
        <is>
          <t>E2E1041-007-84957B</t>
        </is>
      </c>
      <c r="B8" t="inlineStr">
        <is>
          <t>2026-08-13 16:00</t>
        </is>
      </c>
      <c r="C8" t="inlineStr">
        <is>
          <t>E2E Client 7</t>
        </is>
      </c>
      <c r="D8" t="inlineStr">
        <is>
          <t>FRANCE</t>
        </is>
      </c>
      <c r="E8" t="n">
        <v>106</v>
      </c>
      <c r="F8" t="inlineStr">
        <is>
          <t>EUR</t>
        </is>
      </c>
      <c r="G8" t="inlineStr">
        <is>
          <t>一般商品</t>
        </is>
      </c>
      <c r="H8" t="inlineStr">
        <is>
          <t>已分类</t>
        </is>
      </c>
      <c r="I8" t="n">
        <v>1</v>
      </c>
      <c r="J8" t="inlineStr">
        <is>
          <t>否</t>
        </is>
      </c>
      <c r="K8" t="inlineStr">
        <is>
          <t>CN-E2E-9633F4</t>
        </is>
      </c>
    </row>
  </sheetData>
  <autoFilter ref="A1:K8"/>
  <pageMargins left="0.3" right="0.3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24"/>
  <cols>
    <col width="18" customWidth="1" style="32" min="1" max="1"/>
    <col width="60" customWidth="1" style="32" min="2" max="2"/>
    <col width="36" customWidth="1" style="32" min="3" max="3"/>
    <col width="14" customWidth="1" style="32" min="4" max="4"/>
    <col width="14" customWidth="1" style="32" min="5" max="5"/>
    <col width="14" customWidth="1" style="32" min="6" max="6"/>
    <col width="16" customWidth="1" style="32" min="7" max="7"/>
  </cols>
  <sheetData>
    <row r="1" ht="30" customHeight="1" s="32">
      <c r="A1" t="inlineStr">
        <is>
          <t>商品分类</t>
        </is>
      </c>
      <c r="B1" t="inlineStr">
        <is>
          <t>产品名称</t>
        </is>
      </c>
      <c r="C1" t="inlineStr">
        <is>
          <t>SKU</t>
        </is>
      </c>
      <c r="D1" t="inlineStr">
        <is>
          <t>总件数</t>
        </is>
      </c>
      <c r="E1" t="inlineStr">
        <is>
          <t>付费件数</t>
        </is>
      </c>
      <c r="F1" t="inlineStr">
        <is>
          <t>赠品件数</t>
        </is>
      </c>
      <c r="G1" t="inlineStr">
        <is>
          <t>涉及订单数</t>
        </is>
      </c>
    </row>
    <row r="2" ht="24" customHeight="1" s="32">
      <c r="A2" t="inlineStr">
        <is>
          <t>一般商品</t>
        </is>
      </c>
      <c r="B2" t="inlineStr">
        <is>
          <t>Stylo eternel Test A *2</t>
        </is>
      </c>
      <c r="C2" t="inlineStr">
        <is>
          <t>E2E-STY-A-1041 *2</t>
        </is>
      </c>
      <c r="D2" t="n">
        <v>4</v>
      </c>
      <c r="E2" t="n">
        <v>4</v>
      </c>
      <c r="F2" t="n">
        <v>0</v>
      </c>
      <c r="G2" t="n">
        <v>2</v>
      </c>
    </row>
    <row r="3" ht="24" customHeight="1" s="32">
      <c r="A3" t="inlineStr">
        <is>
          <t>一般商品</t>
        </is>
      </c>
      <c r="B3" t="inlineStr">
        <is>
          <t>Stylo eternel Test A *1</t>
        </is>
      </c>
      <c r="C3" t="inlineStr">
        <is>
          <t>E2E-STY-A-1041 *1</t>
        </is>
      </c>
      <c r="D3" t="n">
        <v>3</v>
      </c>
      <c r="E3" t="n">
        <v>3</v>
      </c>
      <c r="F3" t="n">
        <v>0</v>
      </c>
      <c r="G3" t="n">
        <v>3</v>
      </c>
    </row>
    <row r="4" ht="24" customHeight="1" s="32">
      <c r="A4" t="inlineStr">
        <is>
          <t>一般商品</t>
        </is>
      </c>
      <c r="B4" t="inlineStr">
        <is>
          <t>Stylo eternel Test A *3</t>
        </is>
      </c>
      <c r="C4" t="inlineStr">
        <is>
          <t>E2E-STY-A-1041 *3</t>
        </is>
      </c>
      <c r="D4" t="n">
        <v>3</v>
      </c>
      <c r="E4" t="n">
        <v>3</v>
      </c>
      <c r="F4" t="n">
        <v>0</v>
      </c>
      <c r="G4" t="n">
        <v>1</v>
      </c>
    </row>
    <row r="5" ht="24" customHeight="1" s="32">
      <c r="A5" t="inlineStr">
        <is>
          <t>普通笔芯</t>
        </is>
      </c>
      <c r="B5" t="inlineStr">
        <is>
          <t>Lot de 4 mines rechargeables Test C *2</t>
        </is>
      </c>
      <c r="C5" t="inlineStr">
        <is>
          <t>E2E-MINE-C-1041 *2</t>
        </is>
      </c>
      <c r="D5" t="n">
        <v>2</v>
      </c>
      <c r="E5" t="n">
        <v>2</v>
      </c>
      <c r="F5" t="n">
        <v>0</v>
      </c>
      <c r="G5" t="n">
        <v>1</v>
      </c>
    </row>
    <row r="6" ht="24" customHeight="1" s="32">
      <c r="A6" t="inlineStr">
        <is>
          <t>礼盒</t>
        </is>
      </c>
      <c r="B6" t="inlineStr">
        <is>
          <t>Coffret Cadeau Test B *1</t>
        </is>
      </c>
      <c r="C6" t="inlineStr">
        <is>
          <t>E2E-BOX-B-1041 *1</t>
        </is>
      </c>
      <c r="D6" t="n">
        <v>2</v>
      </c>
      <c r="E6" t="n">
        <v>2</v>
      </c>
      <c r="F6" t="n">
        <v>0</v>
      </c>
      <c r="G6" t="n">
        <v>2</v>
      </c>
    </row>
    <row r="7" ht="24" customHeight="1" s="32">
      <c r="A7" t="inlineStr">
        <is>
          <t>礼盒</t>
        </is>
      </c>
      <c r="B7" t="inlineStr">
        <is>
          <t>Coffret Cadeau Test B *2</t>
        </is>
      </c>
      <c r="C7" t="inlineStr">
        <is>
          <t>E2E-BOX-B-1041 *2</t>
        </is>
      </c>
      <c r="D7" t="n">
        <v>2</v>
      </c>
      <c r="E7" t="n">
        <v>2</v>
      </c>
      <c r="F7" t="n">
        <v>0</v>
      </c>
      <c r="G7" t="n">
        <v>1</v>
      </c>
    </row>
    <row r="8" ht="24" customHeight="1" s="32">
      <c r="A8" t="inlineStr">
        <is>
          <t>普通笔芯</t>
        </is>
      </c>
      <c r="B8" t="inlineStr">
        <is>
          <t>Lot de 4 mines rechargeables Test C *1</t>
        </is>
      </c>
      <c r="C8" t="inlineStr">
        <is>
          <t>E2E-MINE-C-1041 *1</t>
        </is>
      </c>
      <c r="D8" t="n">
        <v>1</v>
      </c>
      <c r="E8" t="n">
        <v>1</v>
      </c>
      <c r="F8" t="n">
        <v>0</v>
      </c>
      <c r="G8" t="n">
        <v>1</v>
      </c>
    </row>
  </sheetData>
  <autoFilter ref="A1:G8"/>
  <pageMargins left="0.3" right="0.3" top="0.5" bottom="0.5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24"/>
  <cols>
    <col width="22" customWidth="1" style="32" min="1" max="1"/>
    <col width="17" customWidth="1" style="32" min="2" max="2"/>
    <col width="22" customWidth="1" style="32" min="3" max="3"/>
    <col width="14" customWidth="1" style="32" min="4" max="4"/>
    <col width="14" customWidth="1" style="32" min="5" max="5"/>
    <col width="54" customWidth="1" style="32" min="6" max="6"/>
    <col width="24" customWidth="1" style="32" min="7" max="7"/>
    <col width="12" customWidth="1" style="32" min="8" max="8"/>
    <col width="28" customWidth="1" style="32" min="9" max="9"/>
    <col width="22" customWidth="1" style="32" min="10" max="10"/>
    <col width="22" customWidth="1" style="32" min="11" max="11"/>
  </cols>
  <sheetData>
    <row r="1" ht="30" customHeight="1" s="32">
      <c r="A1" t="inlineStr">
        <is>
          <t>订单号</t>
        </is>
      </c>
      <c r="B1" t="inlineStr">
        <is>
          <t>订单金额</t>
        </is>
      </c>
      <c r="C1" t="inlineStr">
        <is>
          <t>会计分类</t>
        </is>
      </c>
      <c r="D1" t="inlineStr">
        <is>
          <t>分类状态</t>
        </is>
      </c>
      <c r="E1" t="inlineStr">
        <is>
          <t>人工修正</t>
        </is>
      </c>
      <c r="F1" t="inlineStr">
        <is>
          <t>来源文件</t>
        </is>
      </c>
      <c r="G1" t="inlineStr">
        <is>
          <t>来源 Sheet</t>
        </is>
      </c>
      <c r="H1" t="inlineStr">
        <is>
          <t>源行号</t>
        </is>
      </c>
      <c r="I1" t="inlineStr">
        <is>
          <t>店铺账号</t>
        </is>
      </c>
      <c r="J1" t="inlineStr">
        <is>
          <t>付款时间</t>
        </is>
      </c>
      <c r="K1" t="inlineStr">
        <is>
          <t>发货时间</t>
        </is>
      </c>
    </row>
    <row r="2" ht="24" customHeight="1" s="32">
      <c r="A2" t="inlineStr">
        <is>
          <t>E2E1041-001-DC6AA8</t>
        </is>
      </c>
      <c r="B2" t="n">
        <v>100</v>
      </c>
      <c r="C2" t="inlineStr">
        <is>
          <t>一般商品</t>
        </is>
      </c>
      <c r="D2" t="inlineStr">
        <is>
          <t>已分类</t>
        </is>
      </c>
      <c r="E2" t="inlineStr">
        <is>
          <t>否</t>
        </is>
      </c>
      <c r="F2" t="inlineStr">
        <is>
          <t>stage-a-cn-unknown-orders-seed-0x1041E2E-lo-resaved.xlsx</t>
        </is>
      </c>
      <c r="G2" t="inlineStr">
        <is>
          <t>CN_NEW_ORDERS</t>
        </is>
      </c>
      <c r="H2" t="n">
        <v>2</v>
      </c>
      <c r="I2" t="inlineStr">
        <is>
          <t>WRITE-CN</t>
        </is>
      </c>
      <c r="J2" t="inlineStr">
        <is>
          <t>2026-08-13 10:05</t>
        </is>
      </c>
      <c r="K2" t="inlineStr">
        <is>
          <t>2026-08-13 18:00</t>
        </is>
      </c>
    </row>
    <row r="3" ht="24" customHeight="1" s="32">
      <c r="A3" t="inlineStr">
        <is>
          <t>E2E1041-002-8AE914</t>
        </is>
      </c>
      <c r="B3" t="n">
        <v>101</v>
      </c>
      <c r="C3" t="inlineStr">
        <is>
          <t>一般商品</t>
        </is>
      </c>
      <c r="D3" t="inlineStr">
        <is>
          <t>已分类</t>
        </is>
      </c>
      <c r="E3" t="inlineStr">
        <is>
          <t>否</t>
        </is>
      </c>
      <c r="F3" t="inlineStr">
        <is>
          <t>stage-a-cn-unknown-orders-seed-0x1041E2E-lo-resaved.xlsx</t>
        </is>
      </c>
      <c r="G3" t="inlineStr">
        <is>
          <t>CN_NEW_ORDERS</t>
        </is>
      </c>
      <c r="H3" t="n">
        <v>3</v>
      </c>
      <c r="I3" t="inlineStr">
        <is>
          <t>WRITE-CN</t>
        </is>
      </c>
      <c r="J3" t="inlineStr">
        <is>
          <t>2026-08-13 11:05</t>
        </is>
      </c>
      <c r="K3" t="inlineStr">
        <is>
          <t>2026-08-13 18:00</t>
        </is>
      </c>
    </row>
    <row r="4" ht="24" customHeight="1" s="32">
      <c r="A4" t="inlineStr">
        <is>
          <t>E2E1041-003-1E8534</t>
        </is>
      </c>
      <c r="B4" t="n">
        <v>102</v>
      </c>
      <c r="C4" t="inlineStr">
        <is>
          <t>笔芯订单</t>
        </is>
      </c>
      <c r="D4" t="inlineStr">
        <is>
          <t>已分类</t>
        </is>
      </c>
      <c r="E4" t="inlineStr">
        <is>
          <t>否</t>
        </is>
      </c>
      <c r="F4" t="inlineStr">
        <is>
          <t>stage-a-cn-unknown-orders-seed-0x1041E2E-lo-resaved.xlsx</t>
        </is>
      </c>
      <c r="G4" t="inlineStr">
        <is>
          <t>CN_NEW_ORDERS</t>
        </is>
      </c>
      <c r="H4" t="n">
        <v>4</v>
      </c>
      <c r="I4" t="inlineStr">
        <is>
          <t>WRITE-CN</t>
        </is>
      </c>
      <c r="J4" t="inlineStr">
        <is>
          <t>2026-08-13 12:05</t>
        </is>
      </c>
      <c r="K4" t="inlineStr">
        <is>
          <t>2026-08-13 18:00</t>
        </is>
      </c>
    </row>
    <row r="5" ht="24" customHeight="1" s="32">
      <c r="A5" t="inlineStr">
        <is>
          <t>E2E1041-004-4ACC81</t>
        </is>
      </c>
      <c r="B5" t="n">
        <v>103</v>
      </c>
      <c r="C5" t="inlineStr">
        <is>
          <t>礼盒 / 配件订单</t>
        </is>
      </c>
      <c r="D5" t="inlineStr">
        <is>
          <t>已分类</t>
        </is>
      </c>
      <c r="E5" t="inlineStr">
        <is>
          <t>否</t>
        </is>
      </c>
      <c r="F5" t="inlineStr">
        <is>
          <t>stage-a-cn-unknown-orders-seed-0x1041E2E-lo-resaved.xlsx</t>
        </is>
      </c>
      <c r="G5" t="inlineStr">
        <is>
          <t>CN_NEW_ORDERS</t>
        </is>
      </c>
      <c r="H5" t="n">
        <v>5</v>
      </c>
      <c r="I5" t="inlineStr">
        <is>
          <t>WRITE-CN</t>
        </is>
      </c>
      <c r="J5" t="inlineStr">
        <is>
          <t>2026-08-13 13:05</t>
        </is>
      </c>
      <c r="K5" t="inlineStr">
        <is>
          <t>2026-08-13 18:00</t>
        </is>
      </c>
    </row>
    <row r="6" ht="24" customHeight="1" s="32">
      <c r="A6" t="inlineStr">
        <is>
          <t>E2E1041-005-93F4FA</t>
        </is>
      </c>
      <c r="B6" t="n">
        <v>104</v>
      </c>
      <c r="C6" t="inlineStr">
        <is>
          <t>笔芯订单</t>
        </is>
      </c>
      <c r="D6" t="inlineStr">
        <is>
          <t>已分类</t>
        </is>
      </c>
      <c r="E6" t="inlineStr">
        <is>
          <t>否</t>
        </is>
      </c>
      <c r="F6" t="inlineStr">
        <is>
          <t>stage-a-cn-unknown-orders-seed-0x1041E2E-lo-resaved.xlsx</t>
        </is>
      </c>
      <c r="G6" t="inlineStr">
        <is>
          <t>CN_NEW_ORDERS</t>
        </is>
      </c>
      <c r="H6" t="n">
        <v>6</v>
      </c>
      <c r="I6" t="inlineStr">
        <is>
          <t>WRITE-CN</t>
        </is>
      </c>
      <c r="J6" t="inlineStr">
        <is>
          <t>2026-08-13 14:05</t>
        </is>
      </c>
      <c r="K6" t="inlineStr">
        <is>
          <t>2026-08-13 18:00</t>
        </is>
      </c>
    </row>
    <row r="7" ht="24" customHeight="1" s="32">
      <c r="A7" t="inlineStr">
        <is>
          <t>E2E1041-006-EE3519</t>
        </is>
      </c>
      <c r="B7" t="n">
        <v>105</v>
      </c>
      <c r="C7" t="inlineStr">
        <is>
          <t>礼盒 / 配件订单</t>
        </is>
      </c>
      <c r="D7" t="inlineStr">
        <is>
          <t>已分类</t>
        </is>
      </c>
      <c r="E7" t="inlineStr">
        <is>
          <t>否</t>
        </is>
      </c>
      <c r="F7" t="inlineStr">
        <is>
          <t>stage-a-cn-unknown-orders-seed-0x1041E2E-lo-resaved.xlsx</t>
        </is>
      </c>
      <c r="G7" t="inlineStr">
        <is>
          <t>CN_NEW_ORDERS</t>
        </is>
      </c>
      <c r="H7" t="n">
        <v>7</v>
      </c>
      <c r="I7" t="inlineStr">
        <is>
          <t>WRITE-CN</t>
        </is>
      </c>
      <c r="J7" t="inlineStr">
        <is>
          <t>2026-08-13 15:05</t>
        </is>
      </c>
      <c r="K7" t="inlineStr">
        <is>
          <t>2026-08-13 18:00</t>
        </is>
      </c>
    </row>
    <row r="8" ht="24" customHeight="1" s="32">
      <c r="A8" t="inlineStr">
        <is>
          <t>E2E1041-007-84957B</t>
        </is>
      </c>
      <c r="B8" t="n">
        <v>106</v>
      </c>
      <c r="C8" t="inlineStr">
        <is>
          <t>一般商品</t>
        </is>
      </c>
      <c r="D8" t="inlineStr">
        <is>
          <t>已分类</t>
        </is>
      </c>
      <c r="E8" t="inlineStr">
        <is>
          <t>否</t>
        </is>
      </c>
      <c r="F8" t="inlineStr">
        <is>
          <t>stage-a-cn-unknown-orders-seed-0x1041E2E-lo-resaved.xlsx</t>
        </is>
      </c>
      <c r="G8" t="inlineStr">
        <is>
          <t>CN_NEW_ORDERS</t>
        </is>
      </c>
      <c r="H8" t="n">
        <v>8</v>
      </c>
      <c r="I8" t="inlineStr">
        <is>
          <t>WRITE-CN</t>
        </is>
      </c>
      <c r="J8" t="inlineStr">
        <is>
          <t>2026-08-13 16:05</t>
        </is>
      </c>
      <c r="K8" t="inlineStr">
        <is>
          <t>2026-08-13 18:00</t>
        </is>
      </c>
    </row>
  </sheetData>
  <autoFilter ref="A1:K8"/>
  <pageMargins left="0.3" right="0.3" top="0.5" bottom="0.5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WRITE_LEARNING_SOURCE_V1</t>
        </is>
      </c>
      <c r="B1" t="inlineStr">
        <is>
          <t>workbook</t>
        </is>
      </c>
      <c r="C1" t="inlineStr">
        <is>
          <t>factCountry</t>
        </is>
      </c>
      <c r="D1" t="inlineStr">
        <is>
          <t>factNo</t>
        </is>
      </c>
      <c r="E1" t="inlineStr">
        <is>
          <t>originalFactDescription</t>
        </is>
      </c>
      <c r="F1" t="inlineStr">
        <is>
          <t>configurationFingerprint</t>
        </is>
      </c>
      <c r="G1" t="inlineStr">
        <is>
          <t>role</t>
        </is>
      </c>
      <c r="H1" t="inlineStr">
        <is>
          <t>origin</t>
        </is>
      </c>
      <c r="I1" t="inlineStr">
        <is>
          <t>currency</t>
        </is>
      </c>
      <c r="J1" t="inlineStr">
        <is>
          <t>taxRegime</t>
        </is>
      </c>
      <c r="K1" t="inlineStr">
        <is>
          <t>invoiceEntity</t>
        </is>
      </c>
      <c r="L1" t="inlineStr">
        <is>
          <t>sourceItemKey</t>
        </is>
      </c>
      <c r="M1" t="inlineStr">
        <is>
          <t>productName</t>
        </is>
      </c>
      <c r="N1" t="inlineStr">
        <is>
          <t>sku</t>
        </is>
      </c>
      <c r="O1" t="inlineStr">
        <is>
          <t>family</t>
        </is>
      </c>
      <c r="P1" t="inlineStr">
        <is>
          <t>multiplicity</t>
        </is>
      </c>
      <c r="Q1" t="inlineStr">
        <is>
          <t>orderId</t>
        </is>
      </c>
      <c r="R1" t="inlineStr">
        <is>
          <t>trackingNumber</t>
        </is>
      </c>
      <c r="S1" t="inlineStr">
        <is>
          <t>shortDescription</t>
        </is>
      </c>
    </row>
    <row r="2">
      <c r="A2" t="inlineStr">
        <is>
          <t>V1</t>
        </is>
      </c>
      <c r="B2" t="inlineStr">
        <is>
          <t>stage-a-cn-unknown-orders-seed-0x1041E2E-lo-resaved.xlsx</t>
        </is>
      </c>
      <c r="C2" t="inlineStr">
        <is>
          <t>FRANCE</t>
        </is>
      </c>
      <c r="D2" t="n">
        <v>1</v>
      </c>
      <c r="E2" t="inlineStr">
        <is>
          <t>Coffret Cadeau *2</t>
        </is>
      </c>
      <c r="F2" t="inlineStr">
        <is>
          <t>Coffret Cadeau\u00022</t>
        </is>
      </c>
      <c r="G2" t="inlineStr">
        <is>
          <t>PACKAGE</t>
        </is>
      </c>
      <c r="H2" t="inlineStr">
        <is>
          <t>UNKNOWN</t>
        </is>
      </c>
      <c r="I2" t="inlineStr">
        <is>
          <t>EUR</t>
        </is>
      </c>
      <c r="J2" t="inlineStr">
        <is>
          <t>UNSPECIFIED</t>
        </is>
      </c>
      <c r="K2" t="inlineStr">
        <is>
          <t>DEFAULT</t>
        </is>
      </c>
      <c r="L2" t="inlineStr">
        <is>
          <t>E2E1041-006-EE3519::0</t>
        </is>
      </c>
      <c r="M2" t="inlineStr">
        <is>
          <t>Coffret Cadeau Test B *2</t>
        </is>
      </c>
      <c r="N2" t="inlineStr">
        <is>
          <t>E2E-BOX-B-1041</t>
        </is>
      </c>
      <c r="O2" t="inlineStr">
        <is>
          <t>PAID_GIFT_BOX</t>
        </is>
      </c>
      <c r="P2" t="n">
        <v>2</v>
      </c>
      <c r="Q2" t="inlineStr">
        <is>
          <t>E2E1041-006-EE3519</t>
        </is>
      </c>
      <c r="R2" t="inlineStr">
        <is>
          <t>CN-E2E-933988</t>
        </is>
      </c>
      <c r="S2" t="inlineStr">
        <is>
          <t>Coffret Cadeau Test B</t>
        </is>
      </c>
    </row>
    <row r="3">
      <c r="A3" t="inlineStr">
        <is>
          <t>V1</t>
        </is>
      </c>
      <c r="B3" t="inlineStr">
        <is>
          <t>stage-a-cn-unknown-orders-seed-0x1041E2E-lo-resaved.xlsx</t>
        </is>
      </c>
      <c r="C3" t="inlineStr">
        <is>
          <t>FRANCE</t>
        </is>
      </c>
      <c r="D3" t="n">
        <v>2</v>
      </c>
      <c r="E3" t="inlineStr">
        <is>
          <t>Stylo eternel *1</t>
        </is>
      </c>
      <c r="F3" t="inlineStr">
        <is>
          <t>Stylo eternel\u00021</t>
        </is>
      </c>
      <c r="G3" t="inlineStr">
        <is>
          <t>PACKAGE</t>
        </is>
      </c>
      <c r="H3" t="inlineStr">
        <is>
          <t>UNKNOWN</t>
        </is>
      </c>
      <c r="I3" t="inlineStr">
        <is>
          <t>EUR</t>
        </is>
      </c>
      <c r="J3" t="inlineStr">
        <is>
          <t>UNSPECIFIED</t>
        </is>
      </c>
      <c r="K3" t="inlineStr">
        <is>
          <t>DEFAULT</t>
        </is>
      </c>
      <c r="L3" t="inlineStr">
        <is>
          <t>E2E1041-001-DC6AA8::0</t>
        </is>
      </c>
      <c r="M3" t="inlineStr">
        <is>
          <t>Stylo eternel Test A *1</t>
        </is>
      </c>
      <c r="N3" t="inlineStr">
        <is>
          <t>E2E-STY-A-1041</t>
        </is>
      </c>
      <c r="O3" t="inlineStr">
        <is>
          <t>PENCIL_MAIN</t>
        </is>
      </c>
      <c r="P3" t="n">
        <v>1</v>
      </c>
      <c r="Q3" t="inlineStr">
        <is>
          <t>E2E1041-001-DC6AA8</t>
        </is>
      </c>
      <c r="R3" t="inlineStr">
        <is>
          <t>CN-E2E-918D88</t>
        </is>
      </c>
      <c r="S3" t="inlineStr">
        <is>
          <t>Stylo eternel</t>
        </is>
      </c>
    </row>
    <row r="4">
      <c r="A4" t="inlineStr">
        <is>
          <t>V1</t>
        </is>
      </c>
      <c r="B4" t="inlineStr">
        <is>
          <t>stage-a-cn-unknown-orders-seed-0x1041E2E-lo-resaved.xlsx</t>
        </is>
      </c>
      <c r="C4" t="inlineStr">
        <is>
          <t>FRANCE</t>
        </is>
      </c>
      <c r="D4" t="n">
        <v>2</v>
      </c>
      <c r="E4" t="inlineStr">
        <is>
          <t>Stylo eternel *1</t>
        </is>
      </c>
      <c r="F4" t="inlineStr">
        <is>
          <t>Stylo eternel\u00021</t>
        </is>
      </c>
      <c r="G4" t="inlineStr">
        <is>
          <t>PACKAGE</t>
        </is>
      </c>
      <c r="H4" t="inlineStr">
        <is>
          <t>UNKNOWN</t>
        </is>
      </c>
      <c r="I4" t="inlineStr">
        <is>
          <t>EUR</t>
        </is>
      </c>
      <c r="J4" t="inlineStr">
        <is>
          <t>UNSPECIFIED</t>
        </is>
      </c>
      <c r="K4" t="inlineStr">
        <is>
          <t>DEFAULT</t>
        </is>
      </c>
      <c r="L4" t="inlineStr">
        <is>
          <t>E2E1041-007-84957B::0</t>
        </is>
      </c>
      <c r="M4" t="inlineStr">
        <is>
          <t>Stylo eternel Test A *1</t>
        </is>
      </c>
      <c r="N4" t="inlineStr">
        <is>
          <t>E2E-STY-A-1041</t>
        </is>
      </c>
      <c r="O4" t="inlineStr">
        <is>
          <t>PENCIL_MAIN</t>
        </is>
      </c>
      <c r="P4" t="n">
        <v>1</v>
      </c>
      <c r="Q4" t="inlineStr">
        <is>
          <t>E2E1041-007-84957B</t>
        </is>
      </c>
      <c r="R4" t="inlineStr">
        <is>
          <t>CN-E2E-9633F4</t>
        </is>
      </c>
      <c r="S4" t="inlineStr">
        <is>
          <t>Stylo eternel</t>
        </is>
      </c>
    </row>
    <row r="5">
      <c r="A5" t="inlineStr">
        <is>
          <t>V1</t>
        </is>
      </c>
      <c r="B5" t="inlineStr">
        <is>
          <t>stage-a-cn-unknown-orders-seed-0x1041E2E-lo-resaved.xlsx</t>
        </is>
      </c>
      <c r="C5" t="inlineStr">
        <is>
          <t>FRANCE</t>
        </is>
      </c>
      <c r="D5" t="n">
        <v>3</v>
      </c>
      <c r="E5" t="inlineStr">
        <is>
          <t>Stylo eternel *1 + Lot de 4 mines rechargeables *2</t>
        </is>
      </c>
      <c r="F5" t="inlineStr">
        <is>
          <t>Stylo eternel\u00021\u0003Lot de 4 mines rechargeables\u00022</t>
        </is>
      </c>
      <c r="G5" t="inlineStr">
        <is>
          <t>PACKAGE</t>
        </is>
      </c>
      <c r="H5" t="inlineStr">
        <is>
          <t>UNKNOWN</t>
        </is>
      </c>
      <c r="I5" t="inlineStr">
        <is>
          <t>EUR</t>
        </is>
      </c>
      <c r="J5" t="inlineStr">
        <is>
          <t>UNSPECIFIED</t>
        </is>
      </c>
      <c r="K5" t="inlineStr">
        <is>
          <t>DEFAULT</t>
        </is>
      </c>
      <c r="L5" t="inlineStr">
        <is>
          <t>E2E1041-005-93F4FA::0</t>
        </is>
      </c>
      <c r="M5" t="inlineStr">
        <is>
          <t>Stylo eternel Test A *1</t>
        </is>
      </c>
      <c r="N5" t="inlineStr">
        <is>
          <t>E2E-STY-A-1041</t>
        </is>
      </c>
      <c r="O5" t="inlineStr">
        <is>
          <t>PENCIL_MAIN</t>
        </is>
      </c>
      <c r="P5" t="n">
        <v>1</v>
      </c>
      <c r="Q5" t="inlineStr">
        <is>
          <t>E2E1041-005-93F4FA</t>
        </is>
      </c>
      <c r="R5" t="inlineStr">
        <is>
          <t>CN-E2E-28FC92</t>
        </is>
      </c>
      <c r="S5" t="inlineStr">
        <is>
          <t>Stylo eternel</t>
        </is>
      </c>
    </row>
    <row r="6">
      <c r="A6" t="inlineStr">
        <is>
          <t>V1</t>
        </is>
      </c>
      <c r="B6" t="inlineStr">
        <is>
          <t>stage-a-cn-unknown-orders-seed-0x1041E2E-lo-resaved.xlsx</t>
        </is>
      </c>
      <c r="C6" t="inlineStr">
        <is>
          <t>FRANCE</t>
        </is>
      </c>
      <c r="D6" t="n">
        <v>3</v>
      </c>
      <c r="E6" t="inlineStr">
        <is>
          <t>Stylo eternel *1 + Lot de 4 mines rechargeables *2</t>
        </is>
      </c>
      <c r="F6" t="inlineStr">
        <is>
          <t>Stylo eternel\u00021\u0003Lot de 4 mines rechargeables\u00022</t>
        </is>
      </c>
      <c r="G6" t="inlineStr">
        <is>
          <t>PACKAGE</t>
        </is>
      </c>
      <c r="H6" t="inlineStr">
        <is>
          <t>UNKNOWN</t>
        </is>
      </c>
      <c r="I6" t="inlineStr">
        <is>
          <t>EUR</t>
        </is>
      </c>
      <c r="J6" t="inlineStr">
        <is>
          <t>UNSPECIFIED</t>
        </is>
      </c>
      <c r="K6" t="inlineStr">
        <is>
          <t>DEFAULT</t>
        </is>
      </c>
      <c r="L6" t="inlineStr">
        <is>
          <t>E2E1041-005-93F4FA::1</t>
        </is>
      </c>
      <c r="M6" t="inlineStr">
        <is>
          <t>Lot de 4 mines rechargeables Test C *2</t>
        </is>
      </c>
      <c r="N6" t="inlineStr">
        <is>
          <t>E2E-MINE-C-1041</t>
        </is>
      </c>
      <c r="O6" t="inlineStr">
        <is>
          <t>PENCIL_REFILL</t>
        </is>
      </c>
      <c r="P6" t="n">
        <v>2</v>
      </c>
      <c r="Q6" t="inlineStr">
        <is>
          <t>E2E1041-005-93F4FA</t>
        </is>
      </c>
      <c r="R6" t="inlineStr">
        <is>
          <t>CN-E2E-28FC92</t>
        </is>
      </c>
      <c r="S6" t="inlineStr">
        <is>
          <t>Lot de 4 mines rechargeables</t>
        </is>
      </c>
    </row>
    <row r="7">
      <c r="A7" t="inlineStr">
        <is>
          <t>V1</t>
        </is>
      </c>
      <c r="B7" t="inlineStr">
        <is>
          <t>stage-a-cn-unknown-orders-seed-0x1041E2E-lo-resaved.xlsx</t>
        </is>
      </c>
      <c r="C7" t="inlineStr">
        <is>
          <t>FRANCE</t>
        </is>
      </c>
      <c r="D7" t="n">
        <v>4</v>
      </c>
      <c r="E7" t="inlineStr">
        <is>
          <t>Stylo eternel *2</t>
        </is>
      </c>
      <c r="F7" t="inlineStr">
        <is>
          <t>Stylo eternel\u00022</t>
        </is>
      </c>
      <c r="G7" t="inlineStr">
        <is>
          <t>PACKAGE</t>
        </is>
      </c>
      <c r="H7" t="inlineStr">
        <is>
          <t>UNKNOWN</t>
        </is>
      </c>
      <c r="I7" t="inlineStr">
        <is>
          <t>EUR</t>
        </is>
      </c>
      <c r="J7" t="inlineStr">
        <is>
          <t>UNSPECIFIED</t>
        </is>
      </c>
      <c r="K7" t="inlineStr">
        <is>
          <t>DEFAULT</t>
        </is>
      </c>
      <c r="L7" t="inlineStr">
        <is>
          <t>E2E1041-002-8AE914::0</t>
        </is>
      </c>
      <c r="M7" t="inlineStr">
        <is>
          <t>Stylo eternel Test A *2</t>
        </is>
      </c>
      <c r="N7" t="inlineStr">
        <is>
          <t>E2E-STY-A-1041</t>
        </is>
      </c>
      <c r="O7" t="inlineStr">
        <is>
          <t>PENCIL_MAIN</t>
        </is>
      </c>
      <c r="P7" t="n">
        <v>2</v>
      </c>
      <c r="Q7" t="inlineStr">
        <is>
          <t>E2E1041-002-8AE914</t>
        </is>
      </c>
      <c r="R7" t="inlineStr">
        <is>
          <t>CN-E2E-897234</t>
        </is>
      </c>
      <c r="S7" t="inlineStr">
        <is>
          <t>Stylo eternel</t>
        </is>
      </c>
    </row>
    <row r="8">
      <c r="A8" t="inlineStr">
        <is>
          <t>V1</t>
        </is>
      </c>
      <c r="B8" t="inlineStr">
        <is>
          <t>stage-a-cn-unknown-orders-seed-0x1041E2E-lo-resaved.xlsx</t>
        </is>
      </c>
      <c r="C8" t="inlineStr">
        <is>
          <t>FRANCE</t>
        </is>
      </c>
      <c r="D8" t="n">
        <v>5</v>
      </c>
      <c r="E8" t="inlineStr">
        <is>
          <t>Stylo eternel *2 + Coffret Cadeau *1 + Lot de 4 mines rechargeables *1</t>
        </is>
      </c>
      <c r="F8" t="inlineStr">
        <is>
          <t>Stylo eternel\u00022\u0003Coffret Cadeau\u00021\u0003Lot de 4 mines rechargeables\u00021</t>
        </is>
      </c>
      <c r="G8" t="inlineStr">
        <is>
          <t>PACKAGE</t>
        </is>
      </c>
      <c r="H8" t="inlineStr">
        <is>
          <t>UNKNOWN</t>
        </is>
      </c>
      <c r="I8" t="inlineStr">
        <is>
          <t>EUR</t>
        </is>
      </c>
      <c r="J8" t="inlineStr">
        <is>
          <t>UNSPECIFIED</t>
        </is>
      </c>
      <c r="K8" t="inlineStr">
        <is>
          <t>DEFAULT</t>
        </is>
      </c>
      <c r="L8" t="inlineStr">
        <is>
          <t>E2E1041-003-1E8534::0</t>
        </is>
      </c>
      <c r="M8" t="inlineStr">
        <is>
          <t>Stylo eternel Test A *2</t>
        </is>
      </c>
      <c r="N8" t="inlineStr">
        <is>
          <t>E2E-STY-A-1041</t>
        </is>
      </c>
      <c r="O8" t="inlineStr">
        <is>
          <t>PENCIL_MAIN</t>
        </is>
      </c>
      <c r="P8" t="n">
        <v>2</v>
      </c>
      <c r="Q8" t="inlineStr">
        <is>
          <t>E2E1041-003-1E8534</t>
        </is>
      </c>
      <c r="R8" t="inlineStr">
        <is>
          <t>CN-E2E-93882E</t>
        </is>
      </c>
      <c r="S8" t="inlineStr">
        <is>
          <t>Stylo eternel</t>
        </is>
      </c>
    </row>
    <row r="9">
      <c r="A9" t="inlineStr">
        <is>
          <t>V1</t>
        </is>
      </c>
      <c r="B9" t="inlineStr">
        <is>
          <t>stage-a-cn-unknown-orders-seed-0x1041E2E-lo-resaved.xlsx</t>
        </is>
      </c>
      <c r="C9" t="inlineStr">
        <is>
          <t>FRANCE</t>
        </is>
      </c>
      <c r="D9" t="n">
        <v>5</v>
      </c>
      <c r="E9" t="inlineStr">
        <is>
          <t>Stylo eternel *2 + Coffret Cadeau *1 + Lot de 4 mines rechargeables *1</t>
        </is>
      </c>
      <c r="F9" t="inlineStr">
        <is>
          <t>Stylo eternel\u00022\u0003Coffret Cadeau\u00021\u0003Lot de 4 mines rechargeables\u00021</t>
        </is>
      </c>
      <c r="G9" t="inlineStr">
        <is>
          <t>PACKAGE</t>
        </is>
      </c>
      <c r="H9" t="inlineStr">
        <is>
          <t>UNKNOWN</t>
        </is>
      </c>
      <c r="I9" t="inlineStr">
        <is>
          <t>EUR</t>
        </is>
      </c>
      <c r="J9" t="inlineStr">
        <is>
          <t>UNSPECIFIED</t>
        </is>
      </c>
      <c r="K9" t="inlineStr">
        <is>
          <t>DEFAULT</t>
        </is>
      </c>
      <c r="L9" t="inlineStr">
        <is>
          <t>E2E1041-003-1E8534::1</t>
        </is>
      </c>
      <c r="M9" t="inlineStr">
        <is>
          <t>Coffret Cadeau Test B *1</t>
        </is>
      </c>
      <c r="N9" t="inlineStr">
        <is>
          <t>E2E-BOX-B-1041</t>
        </is>
      </c>
      <c r="O9" t="inlineStr">
        <is>
          <t>PAID_GIFT_BOX</t>
        </is>
      </c>
      <c r="P9" t="n">
        <v>1</v>
      </c>
      <c r="Q9" t="inlineStr">
        <is>
          <t>E2E1041-003-1E8534</t>
        </is>
      </c>
      <c r="R9" t="inlineStr">
        <is>
          <t>CN-E2E-93882E</t>
        </is>
      </c>
      <c r="S9" t="inlineStr">
        <is>
          <t>Coffret Cadeau Test B</t>
        </is>
      </c>
    </row>
    <row r="10">
      <c r="A10" t="inlineStr">
        <is>
          <t>V1</t>
        </is>
      </c>
      <c r="B10" t="inlineStr">
        <is>
          <t>stage-a-cn-unknown-orders-seed-0x1041E2E-lo-resaved.xlsx</t>
        </is>
      </c>
      <c r="C10" t="inlineStr">
        <is>
          <t>FRANCE</t>
        </is>
      </c>
      <c r="D10" t="n">
        <v>5</v>
      </c>
      <c r="E10" t="inlineStr">
        <is>
          <t>Stylo eternel *2 + Coffret Cadeau *1 + Lot de 4 mines rechargeables *1</t>
        </is>
      </c>
      <c r="F10" t="inlineStr">
        <is>
          <t>Stylo eternel\u00022\u0003Coffret Cadeau\u00021\u0003Lot de 4 mines rechargeables\u00021</t>
        </is>
      </c>
      <c r="G10" t="inlineStr">
        <is>
          <t>PACKAGE</t>
        </is>
      </c>
      <c r="H10" t="inlineStr">
        <is>
          <t>UNKNOWN</t>
        </is>
      </c>
      <c r="I10" t="inlineStr">
        <is>
          <t>EUR</t>
        </is>
      </c>
      <c r="J10" t="inlineStr">
        <is>
          <t>UNSPECIFIED</t>
        </is>
      </c>
      <c r="K10" t="inlineStr">
        <is>
          <t>DEFAULT</t>
        </is>
      </c>
      <c r="L10" t="inlineStr">
        <is>
          <t>E2E1041-003-1E8534::2</t>
        </is>
      </c>
      <c r="M10" t="inlineStr">
        <is>
          <t>Lot de 4 mines rechargeables Test C *1</t>
        </is>
      </c>
      <c r="N10" t="inlineStr">
        <is>
          <t>E2E-MINE-C-1041</t>
        </is>
      </c>
      <c r="O10" t="inlineStr">
        <is>
          <t>PENCIL_REFILL</t>
        </is>
      </c>
      <c r="P10" t="n">
        <v>1</v>
      </c>
      <c r="Q10" t="inlineStr">
        <is>
          <t>E2E1041-003-1E8534</t>
        </is>
      </c>
      <c r="R10" t="inlineStr">
        <is>
          <t>CN-E2E-93882E</t>
        </is>
      </c>
      <c r="S10" t="inlineStr">
        <is>
          <t>Lot de 4 mines rechargeables</t>
        </is>
      </c>
    </row>
    <row r="11">
      <c r="A11" t="inlineStr">
        <is>
          <t>V1</t>
        </is>
      </c>
      <c r="B11" t="inlineStr">
        <is>
          <t>stage-a-cn-unknown-orders-seed-0x1041E2E-lo-resaved.xlsx</t>
        </is>
      </c>
      <c r="C11" t="inlineStr">
        <is>
          <t>FRANCE</t>
        </is>
      </c>
      <c r="D11" t="n">
        <v>6</v>
      </c>
      <c r="E11" t="inlineStr">
        <is>
          <t>Stylo eternel *3 + Coffret Cadeau *1</t>
        </is>
      </c>
      <c r="F11" t="inlineStr">
        <is>
          <t>Stylo eternel\u00023\u0003Coffret Cadeau\u00021</t>
        </is>
      </c>
      <c r="G11" t="inlineStr">
        <is>
          <t>PACKAGE</t>
        </is>
      </c>
      <c r="H11" t="inlineStr">
        <is>
          <t>UNKNOWN</t>
        </is>
      </c>
      <c r="I11" t="inlineStr">
        <is>
          <t>EUR</t>
        </is>
      </c>
      <c r="J11" t="inlineStr">
        <is>
          <t>UNSPECIFIED</t>
        </is>
      </c>
      <c r="K11" t="inlineStr">
        <is>
          <t>DEFAULT</t>
        </is>
      </c>
      <c r="L11" t="inlineStr">
        <is>
          <t>E2E1041-004-4ACC81::0</t>
        </is>
      </c>
      <c r="M11" t="inlineStr">
        <is>
          <t>Stylo eternel Test A *3</t>
        </is>
      </c>
      <c r="N11" t="inlineStr">
        <is>
          <t>E2E-STY-A-1041</t>
        </is>
      </c>
      <c r="O11" t="inlineStr">
        <is>
          <t>PENCIL_MAIN</t>
        </is>
      </c>
      <c r="P11" t="n">
        <v>3</v>
      </c>
      <c r="Q11" t="inlineStr">
        <is>
          <t>E2E1041-004-4ACC81</t>
        </is>
      </c>
      <c r="R11" t="inlineStr">
        <is>
          <t>CN-E2E-9EBA89</t>
        </is>
      </c>
      <c r="S11" t="inlineStr">
        <is>
          <t>Stylo eternel</t>
        </is>
      </c>
    </row>
    <row r="12">
      <c r="A12" t="inlineStr">
        <is>
          <t>V1</t>
        </is>
      </c>
      <c r="B12" t="inlineStr">
        <is>
          <t>stage-a-cn-unknown-orders-seed-0x1041E2E-lo-resaved.xlsx</t>
        </is>
      </c>
      <c r="C12" t="inlineStr">
        <is>
          <t>FRANCE</t>
        </is>
      </c>
      <c r="D12" t="n">
        <v>6</v>
      </c>
      <c r="E12" t="inlineStr">
        <is>
          <t>Stylo eternel *3 + Coffret Cadeau *1</t>
        </is>
      </c>
      <c r="F12" t="inlineStr">
        <is>
          <t>Stylo eternel\u00023\u0003Coffret Cadeau\u00021</t>
        </is>
      </c>
      <c r="G12" t="inlineStr">
        <is>
          <t>PACKAGE</t>
        </is>
      </c>
      <c r="H12" t="inlineStr">
        <is>
          <t>UNKNOWN</t>
        </is>
      </c>
      <c r="I12" t="inlineStr">
        <is>
          <t>EUR</t>
        </is>
      </c>
      <c r="J12" t="inlineStr">
        <is>
          <t>UNSPECIFIED</t>
        </is>
      </c>
      <c r="K12" t="inlineStr">
        <is>
          <t>DEFAULT</t>
        </is>
      </c>
      <c r="L12" t="inlineStr">
        <is>
          <t>E2E1041-004-4ACC81::1</t>
        </is>
      </c>
      <c r="M12" t="inlineStr">
        <is>
          <t>Coffret Cadeau Test B *1</t>
        </is>
      </c>
      <c r="N12" t="inlineStr">
        <is>
          <t>E2E-BOX-B-1041</t>
        </is>
      </c>
      <c r="O12" t="inlineStr">
        <is>
          <t>PAID_GIFT_BOX</t>
        </is>
      </c>
      <c r="P12" t="n">
        <v>1</v>
      </c>
      <c r="Q12" t="inlineStr">
        <is>
          <t>E2E1041-004-4ACC81</t>
        </is>
      </c>
      <c r="R12" t="inlineStr">
        <is>
          <t>CN-E2E-9EBA89</t>
        </is>
      </c>
      <c r="S12" t="inlineStr">
        <is>
          <t>Coffret Cadeau Test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2025-07-31T20:13:00Z</dcterms:created>
  <dcterms:modified xmlns:dcterms="http://purl.org/dc/terms/" xmlns:xsi="http://www.w3.org/2001/XMLSchema-instance" xsi:type="dcterms:W3CDTF">2026-08-13T20:06:48Z</dcterms:modified>
  <cp:lastModifiedBy>c＇est dan.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2052-12.1.24031.24031</vt:lpwstr>
  </property>
  <property name="ICV" fmtid="{D5CDD505-2E9C-101B-9397-08002B2CF9AE}" pid="3">
    <vt:lpwstr xmlns:vt="http://schemas.openxmlformats.org/officeDocument/2006/docPropsVTypes">5B0FFD2815D04E5DE02BED69A869EF7A_43</vt:lpwstr>
  </property>
  <property name="CalculationRule" fmtid="{D5CDD505-2E9C-101B-9397-08002B2CF9AE}" pid="4">
    <vt:i4 xmlns:vt="http://schemas.openxmlformats.org/officeDocument/2006/docPropsVTypes">0</vt:i4>
  </property>
</Properties>
</file>